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_by_Module" sheetId="2" state="visible" r:id="rId2"/>
    <sheet xmlns:r="http://schemas.openxmlformats.org/officeDocument/2006/relationships" name="Complexity" sheetId="3" state="visible" r:id="rId3"/>
    <sheet xmlns:r="http://schemas.openxmlformats.org/officeDocument/2006/relationships" name="Churn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Component_Trend" sheetId="6" state="visible" r:id="rId6"/>
    <sheet xmlns:r="http://schemas.openxmlformats.org/officeDocument/2006/relationships" name="Contributors" sheetId="7" state="visible" r:id="rId7"/>
    <sheet xmlns:r="http://schemas.openxmlformats.org/officeDocument/2006/relationships" name="Correlations" sheetId="8" state="visible" r:id="rId8"/>
    <sheet xmlns:r="http://schemas.openxmlformats.org/officeDocument/2006/relationships" name="Pivots" sheetId="9" state="visible" r:id="rId9"/>
    <sheet xmlns:r="http://schemas.openxmlformats.org/officeDocument/2006/relationships" name="Priority_List" sheetId="10" state="visible" r:id="rId10"/>
    <sheet xmlns:r="http://schemas.openxmlformats.org/officeDocument/2006/relationships" name="Modules" sheetId="11" state="visible" r:id="rId11"/>
    <sheet xmlns:r="http://schemas.openxmlformats.org/officeDocument/2006/relationships" name="Data" sheetId="12" state="visible" r:id="rId12"/>
    <sheet xmlns:r="http://schemas.openxmlformats.org/officeDocument/2006/relationships" name="Notes" sheetId="13" state="visible" r:id="rId13"/>
  </sheets>
  <definedNames>
    <definedName name="_xlnm._FilterDatabase" localSheetId="10" hidden="1">'Modules'!$A$1:$N$48</definedName>
    <definedName name="_xlnm._FilterDatabase" localSheetId="11" hidden="1">'Data'!$A$1:$AE$236</definedName>
  </definedNames>
  <calcPr calcId="124519" fullCalcOnLoad="1"/>
  <pivotCaches>
    <pivotCache xmlns:r="http://schemas.openxmlformats.org/officeDocument/2006/relationships" cacheId="1" r:id="rId14"/>
  </pivotCaches>
</workbook>
</file>

<file path=xl/styles.xml><?xml version="1.0" encoding="utf-8"?>
<styleSheet xmlns="http://schemas.openxmlformats.org/spreadsheetml/2006/main">
  <numFmts count="5">
    <numFmt numFmtId="164" formatCode="0.0"/>
    <numFmt numFmtId="165" formatCode="0.0%"/>
    <numFmt numFmtId="166" formatCode="0.0000"/>
    <numFmt numFmtId="167" formatCode="0.0&quot;x&quot;"/>
    <numFmt numFmtId="168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1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2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2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9" fontId="4" fillId="0" borderId="0" pivotButton="0" quotePrefix="0" xfId="0"/>
    <xf numFmtId="9" fontId="2" fillId="0" borderId="0" pivotButton="0" quotePrefix="0" xfId="0"/>
    <xf numFmtId="9" fontId="5" fillId="0" borderId="0" pivotButton="0" quotePrefix="0" xfId="0"/>
    <xf numFmtId="2" fontId="2" fillId="0" borderId="0" applyAlignment="1" pivotButton="0" quotePrefix="0" xfId="0">
      <alignment horizontal="center"/>
    </xf>
    <xf numFmtId="168" fontId="2" fillId="0" borderId="0" pivotButton="0" quotePrefix="0" xfId="0"/>
    <xf numFmtId="0" fontId="5" fillId="0" borderId="0" applyAlignment="1" pivotButton="0" quotePrefix="0" xfId="0">
      <alignment vertical="top" wrapText="1"/>
    </xf>
    <xf numFmtId="164" fontId="2" fillId="0" borderId="0" pivotButton="0" quotePrefix="0" xfId="0"/>
    <xf numFmtId="165" fontId="2" fillId="0" borderId="0" pivotButton="0" quotePrefix="0" xfId="0"/>
    <xf numFmtId="165" fontId="5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68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modules by total defects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'Defects_by_Module'!D4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'Defects_by_Module'!$B$5:$B$14</f>
            </numRef>
          </cat>
          <val>
            <numRef>
              <f>'Defects_by_Module'!$D$5:$D$14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defects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'Defects_by_Module'!C19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'Defects_by_Module'!$A$20:$A$25</f>
            </numRef>
          </cat>
          <val>
            <numRef>
              <f>'Defects_by_Module'!$C$20:$C$25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Module-releases by number of defects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'Defects_by_Module'!B39</f>
            </strRef>
          </tx>
          <spPr>
            <a:ln xmlns:a="http://schemas.openxmlformats.org/drawingml/2006/main">
              <a:prstDash val="solid"/>
            </a:ln>
          </spPr>
          <cat>
            <numRef>
              <f>'Defects_by_Module'!$A$40:$A$45</f>
            </numRef>
          </cat>
          <val>
            <numRef>
              <f>'Defects_by_Module'!$B$40:$B$45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Defects in one 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Module-releases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Complexity vs defects per module-release</a:t>
            </a:r>
          </a:p>
        </rich>
      </tx>
    </title>
    <plotArea>
      <scatterChart>
        <ser>
          <idx val="0"/>
          <order val="0"/>
          <tx>
            <v>Module-release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'Data'!$H$2:$H$236</f>
            </numRef>
          </xVal>
          <yVal>
            <numRef>
              <f>'Data'!$S$2:$S$236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Complexity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defects by complexity quartile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'Complexity'!E10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'Complexity'!$A$11:$A$14</f>
            </numRef>
          </cat>
          <val>
            <numRef>
              <f>'Complexity'!$E$11:$E$14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defects per 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Code churn vs defects per module-release</a:t>
            </a:r>
          </a:p>
        </rich>
      </tx>
    </title>
    <plotArea>
      <scatterChart>
        <ser>
          <idx val="0"/>
          <order val="0"/>
          <tx>
            <v>Module-release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'Data'!$J$2:$J$236</f>
            </numRef>
          </xVal>
          <yVal>
            <numRef>
              <f>'Data'!$S$2:$S$236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Code churn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defects by code churn quartile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'Churn'!$A$11:$A$14</f>
            </numRef>
          </cat>
          <val>
            <numRef>
              <f>'Churn'!$E$11:$E$14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defects per 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defects by test-coverage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'Coverage'!E10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'Coverage'!$A$11:$A$14</f>
            </numRef>
          </cat>
          <val>
            <numRef>
              <f>'Coverage'!$E$11:$E$14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defects per 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test coverage by component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'Coverage'!B19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'Coverage'!$A$20:$A$25</f>
            </numRef>
          </cat>
          <val>
            <numRef>
              <f>'Coverage'!$B$20:$B$25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trend by component across releases</a:t>
            </a:r>
          </a:p>
        </rich>
      </tx>
    </title>
    <plotArea>
      <lineChart>
        <grouping val="standard"/>
        <ser>
          <idx val="0"/>
          <order val="0"/>
          <tx>
            <strRef>
              <f>'Component_Trend'!A5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'Component_Trend'!$B$5:$F$5</f>
            </numRef>
          </val>
          <smooth val="0"/>
        </ser>
        <ser>
          <idx val="1"/>
          <order val="1"/>
          <tx>
            <strRef>
              <f>'Component_Trend'!A6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'Component_Trend'!$B$6:$F$6</f>
            </numRef>
          </val>
          <smooth val="0"/>
        </ser>
        <ser>
          <idx val="2"/>
          <order val="2"/>
          <tx>
            <strRef>
              <f>'Component_Trend'!A7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'Component_Trend'!$B$7:$F$7</f>
            </numRef>
          </val>
          <smooth val="0"/>
        </ser>
        <ser>
          <idx val="3"/>
          <order val="3"/>
          <tx>
            <strRef>
              <f>'Component_Trend'!A8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'Component_Trend'!$B$8:$F$8</f>
            </numRef>
          </val>
          <smooth val="0"/>
        </ser>
        <ser>
          <idx val="4"/>
          <order val="4"/>
          <tx>
            <strRef>
              <f>'Component_Trend'!A9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'Component_Trend'!$B$9:$F$9</f>
            </numRef>
          </val>
          <smooth val="0"/>
        </ser>
        <ser>
          <idx val="5"/>
          <order val="5"/>
          <tx>
            <strRef>
              <f>'Component_Trend'!A10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'Component_Trend'!$B$4:$F$4</f>
            </numRef>
          </cat>
          <val>
            <numRef>
              <f>'Component_Trend'!$B$10:$F$10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Repeat-defect modules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'Component_Trend'!C16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'Component_Trend'!$A$17:$A$22</f>
            </numRef>
          </cat>
          <val>
            <numRef>
              <f>'Component_Trend'!$C$17:$C$22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Modules with defects in 4+ releases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defects by contributor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'Contributors'!E12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'Contributors'!$A$13:$A$16</f>
            </numRef>
          </cat>
          <val>
            <numRef>
              <f>'Contributors'!$E$13:$E$16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Contributors in the 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defects per 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Pearson correlation of each metric with defects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'Correlations'!B4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'Correlations'!$A$5:$A$12</f>
            </numRef>
          </cat>
          <val>
            <numRef>
              <f>'Correlations'!$B$5:$B$12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Correlation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0"/>
  <pivotSource>
    <name>[CH28_Excel_Analysis.xlsx]Pivots!PT_Defects_by_Module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total defects by module (all releases, largest first)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Pivots!$B$4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cat>
            <numRef>
              <f>'Pivots'!$A$5:$A$51</f>
            </numRef>
          </cat>
          <val>
            <numRef>
              <f>'Pivots'!$B$5:$B$51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0"/>
  <pivotSource>
    <name>[CH28_Excel_Analysis.xlsx]Pivots!PT_Component_by_Release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defects by release for each component</a:t>
            </a:r>
          </a:p>
        </rich>
      </tx>
    </title>
    <plotArea>
      <lineChart>
        <grouping val="standard"/>
        <ser>
          <idx val="0"/>
          <order val="0"/>
          <tx>
            <strRef>
              <f>Pivots!$E$30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'Pivots'!$E$31:$E$35</f>
            </numRef>
          </val>
          <smooth val="0"/>
        </ser>
        <ser>
          <idx val="1"/>
          <order val="1"/>
          <tx>
            <strRef>
              <f>Pivots!$F$30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'Pivots'!$F$31:$F$35</f>
            </numRef>
          </val>
          <smooth val="0"/>
        </ser>
        <ser>
          <idx val="2"/>
          <order val="2"/>
          <tx>
            <strRef>
              <f>Pivots!$G$30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'Pivots'!$G$31:$G$35</f>
            </numRef>
          </val>
          <smooth val="0"/>
        </ser>
        <ser>
          <idx val="3"/>
          <order val="3"/>
          <tx>
            <strRef>
              <f>Pivots!$H$30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'Pivots'!$H$31:$H$35</f>
            </numRef>
          </val>
          <smooth val="0"/>
        </ser>
        <ser>
          <idx val="4"/>
          <order val="4"/>
          <tx>
            <strRef>
              <f>Pivots!$I$30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'Pivots'!$I$31:$I$35</f>
            </numRef>
          </val>
          <smooth val="0"/>
        </ser>
        <ser>
          <idx val="5"/>
          <order val="5"/>
          <tx>
            <strRef>
              <f>Pivots!$J$30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'Pivots'!$D$31:$D$35</f>
            </numRef>
          </cat>
          <val>
            <numRef>
              <f>'Pivots'!$J$31:$J$35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defects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pivotSource>
    <name>[CH28_Excel_Analysis.xlsx]Pivots!PT_Complexity_Band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average defects by complexity quartile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Pivots!$E$47</f>
            </strRef>
          </tx>
          <spPr>
            <a:solidFill xmlns:a="http://schemas.openxmlformats.org/drawingml/2006/main">
              <a:srgbClr val="2F5597"/>
            </a:solidFill>
            <a:ln xmlns:a="http://schemas.openxmlformats.org/drawingml/2006/main">
              <a:prstDash val="solid"/>
            </a:ln>
          </spPr>
          <cat>
            <numRef>
              <f>'Pivots'!$D$48:$D$51</f>
            </numRef>
          </cat>
          <val>
            <numRef>
              <f>'Pivots'!$E$48:$E$51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Complexity quartile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defects per module-release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0"/>
  <pivotSource>
    <name>[CH28_Excel_Analysis.xlsx]Pivots!PT_Churn_Band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average defects by code-churn quartile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Pivots!$E$65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'Pivots'!$D$66:$D$69</f>
            </numRef>
          </cat>
          <val>
            <numRef>
              <f>'Pivots'!$E$66:$E$69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 quartile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defects per module-release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10"/>
  <pivotSource>
    <name>[CH28_Excel_Analysis.xlsx]Pivots!PT_Coverage_Band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average defects by test-coverage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Pivots!$E$83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'Pivots'!$D$84:$D$87</f>
            </numRef>
          </cat>
          <val>
            <numRef>
              <f>'Pivots'!$E$84:$E$87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coverage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defects per module-release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10"/>
  <pivotSource>
    <name>[CH28_Excel_Analysis.xlsx]Pivots!PT_Contributor_Group</name>
    <fmtId val="0"/>
  </pivotSource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Pivot chart: contributors vs defects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Pivots!$F$101</f>
            </strRef>
          </tx>
          <spPr>
            <a:solidFill xmlns:a="http://schemas.openxmlformats.org/drawingml/2006/main">
              <a:srgbClr val="BDD7EE"/>
            </a:solidFill>
            <a:ln xmlns:a="http://schemas.openxmlformats.org/drawingml/2006/main">
              <a:prstDash val="solid"/>
            </a:ln>
          </spPr>
          <cat>
            <numRef>
              <f>'Pivots'!$D$102:$D$105</f>
            </numRef>
          </cat>
          <val>
            <numRef>
              <f>'Pivots'!$F$102:$F$105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Pivots!$E$101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val>
            <numRef>
              <f>'Pivots'!$E$102:$E$105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Contributors in the release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Module-releases (count)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defects per module-release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Relationship Type="http://schemas.openxmlformats.org/officeDocument/2006/relationships/chart" Target="/xl/charts/chart18.xml" Id="rId5"/><Relationship Type="http://schemas.openxmlformats.org/officeDocument/2006/relationships/chart" Target="/xl/charts/chart19.xml" Id="rId6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38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20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2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27</row>
      <rowOff>0</rowOff>
    </from>
    <ext cx="61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45</row>
      <rowOff>0</rowOff>
    </from>
    <ext cx="61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63</row>
      <rowOff>0</rowOff>
    </from>
    <ext cx="61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12</col>
      <colOff>0</colOff>
      <row>81</row>
      <rowOff>0</rowOff>
    </from>
    <ext cx="612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99</row>
      <rowOff>0</rowOff>
    </from>
    <ext cx="612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Niket Kumar" refreshedDate="46307" createdVersion="6" refreshedVersion="6" minRefreshableVersion="3" recordCount="235" r:id="rId1">
  <cacheSource type="worksheet">
    <worksheetSource ref="A1:AE236" sheet="Data"/>
  </cacheSource>
  <cacheFields count="31">
    <cacheField name="module" uniqueList="1" numFmtId="0" sqlType="0" hierarchy="0" level="0" databaseField="1">
      <sharedItems count="47">
        <s v="api_gateway"/>
        <s v="ui_notifications"/>
        <s v="ui_themes"/>
        <s v="auth_session"/>
        <s v="payments_fraud"/>
        <s v="reporting_audit_logs"/>
        <s v="reporting_scheduler"/>
        <s v="database_migration"/>
        <s v="payments_invoice"/>
        <s v="database_replication"/>
        <s v="payments_gateway"/>
        <s v="reporting_export"/>
        <s v="api_validator"/>
        <s v="database_orm"/>
        <s v="payments_checkout"/>
        <s v="ui_search"/>
        <s v="api_webhooks"/>
        <s v="auth_audit"/>
        <s v="auth_token"/>
        <s v="payments_wallet"/>
        <s v="ui_charts"/>
        <s v="ui_profile"/>
        <s v="api_docs"/>
        <s v="api_versioning"/>
        <s v="database_backup"/>
        <s v="payments_subscription"/>
        <s v="reporting_templates"/>
        <s v="ui_forms"/>
        <s v="payments_refund"/>
        <s v="payments_tax"/>
        <s v="ui_dashboard"/>
        <s v="ui_navbar"/>
        <s v="api_router"/>
        <s v="auth_oauth"/>
        <s v="auth_rbac"/>
        <s v="database_cache"/>
        <s v="reporting_analytics"/>
        <s v="reporting_pdfgen"/>
        <s v="database_indexing"/>
        <s v="database_pool"/>
        <s v="reporting_emailer"/>
        <s v="api_graphql"/>
        <s v="api_ratelimit"/>
        <s v="auth_login"/>
        <s v="auth_mfa"/>
        <s v="auth_password"/>
        <s v="reporting_aggregator"/>
      </sharedItems>
    </cacheField>
    <cacheField name="component" uniqueList="1" numFmtId="0" sqlType="0" hierarchy="0" level="0" databaseField="1">
      <sharedItems count="6">
        <s v="API"/>
        <s v="Auth"/>
        <s v="Database"/>
        <s v="Payments"/>
        <s v="Reporting"/>
        <s v="UI"/>
      </sharedItems>
    </cacheField>
    <cacheField name="language" uniqueList="1" numFmtId="0" sqlType="0" hierarchy="0" level="0" databaseField="1">
      <sharedItems count="4">
        <s v="C++"/>
        <s v="Java"/>
        <s v="JavaScript"/>
        <s v="Python"/>
      </sharedItems>
    </cacheField>
    <cacheField name="release" uniqueList="1" numFmtId="0" sqlType="0" hierarchy="0" level="0" databaseField="1">
      <sharedItems count="5">
        <s v="v1.0"/>
        <s v="v1.1"/>
        <s v="v2.0"/>
        <s v="v2.1"/>
        <s v="v3.0"/>
      </sharedItems>
    </cacheField>
    <cacheField name="release_date" uniqueList="1" numFmtId="14" sqlType="0" hierarchy="0" level="0" databaseField="1">
      <sharedItems containsDate="1" containsNonDate="0" containsSemiMixedTypes="0" containsString="0" minDate="2024-01-15T00:00:00" maxDate="2025-07-01T00:00:00"/>
    </cacheField>
    <cacheField name="release_index" uniqueList="1" numFmtId="0" sqlType="0" hierarchy="0" level="0" databaseField="1">
      <sharedItems containsInteger="1" containsNumber="1" containsSemiMixedTypes="0" containsString="0" minValue="1" maxValue="5"/>
    </cacheField>
    <cacheField name="size" uniqueList="1" numFmtId="0" sqlType="0" hierarchy="0" level="0" databaseField="1">
      <sharedItems containsInteger="1" containsNumber="1" containsSemiMixedTypes="0" containsString="0" minValue="619" maxValue="7222"/>
    </cacheField>
    <cacheField name="complexity" uniqueList="1" numFmtId="0" sqlType="0" hierarchy="0" level="0" databaseField="1">
      <sharedItems containsNumber="1" containsSemiMixedTypes="0" containsString="0" minValue="2" maxValue="33.4"/>
    </cacheField>
    <cacheField name="coupling" uniqueList="1" numFmtId="0" sqlType="0" hierarchy="0" level="0" databaseField="1">
      <sharedItems containsNumber="1" containsSemiMixedTypes="0" containsString="0" minValue="1" maxValue="21.88"/>
    </cacheField>
    <cacheField name="churn" uniqueList="1" numFmtId="0" sqlType="0" hierarchy="0" level="0" databaseField="1">
      <sharedItems containsNumber="1" containsSemiMixedTypes="0" containsString="0" minValue="33.7" maxValue="1249.4"/>
    </cacheField>
    <cacheField name="test_coverage" uniqueList="1" numFmtId="0" sqlType="0" hierarchy="0" level="0" databaseField="1">
      <sharedItems containsNumber="1" containsSemiMixedTypes="0" containsString="0" minValue="24.9" maxValue="98"/>
    </cacheField>
    <cacheField name="commit_count" uniqueList="1" numFmtId="0" sqlType="0" hierarchy="0" level="0" databaseField="1">
      <sharedItems containsInteger="1" containsNumber="1" containsSemiMixedTypes="0" containsString="0" minValue="1" maxValue="59"/>
    </cacheField>
    <cacheField name="contributors" uniqueList="1" numFmtId="0" sqlType="0" hierarchy="0" level="0" databaseField="1">
      <sharedItems containsInteger="1" containsNumber="1" containsSemiMixedTypes="0" containsString="0" minValue="1" maxValue="9"/>
    </cacheField>
    <cacheField name="changed_lines" uniqueList="1" numFmtId="0" sqlType="0" hierarchy="0" level="0" databaseField="1">
      <sharedItems containsInteger="1" containsNumber="1" containsSemiMixedTypes="0" containsString="0" minValue="46" maxValue="1964"/>
    </cacheField>
    <cacheField name="defects_low" uniqueList="1" numFmtId="0" sqlType="0" hierarchy="0" level="0" databaseField="1">
      <sharedItems containsInteger="1" containsNumber="1" containsSemiMixedTypes="0" containsString="0" minValue="0" maxValue="7"/>
    </cacheField>
    <cacheField name="defects_medium" uniqueList="1" numFmtId="0" sqlType="0" hierarchy="0" level="0" databaseField="1">
      <sharedItems containsInteger="1" containsNumber="1" containsSemiMixedTypes="0" containsString="0" minValue="0" maxValue="4"/>
    </cacheField>
    <cacheField name="defects_high" uniqueList="1" numFmtId="0" sqlType="0" hierarchy="0" level="0" databaseField="1">
      <sharedItems containsInteger="1" containsNumber="1" containsSemiMixedTypes="0" containsString="0" minValue="0" maxValue="3"/>
    </cacheField>
    <cacheField name="defects_critical" uniqueList="1" numFmtId="0" sqlType="0" hierarchy="0" level="0" databaseField="1">
      <sharedItems containsInteger="1" containsNumber="1" containsSemiMixedTypes="0" containsString="0" minValue="0" maxValue="3"/>
    </cacheField>
    <cacheField name="total_defects" uniqueList="1" numFmtId="0" sqlType="0" hierarchy="0" level="0" databaseField="1">
      <sharedItems containsInteger="1" containsNumber="1" containsSemiMixedTypes="0" containsString="0" minValue="0" maxValue="15"/>
    </cacheField>
    <cacheField name="churn_per_commit" uniqueList="1" numFmtId="0" sqlType="0" hierarchy="0" level="0" databaseField="1">
      <sharedItems containsNumber="1" containsSemiMixedTypes="0" containsString="0" minValue="12.5976" maxValue="300.35"/>
    </cacheField>
    <cacheField name="defect_density" uniqueList="1" numFmtId="0" sqlType="0" hierarchy="0" level="0" databaseField="1">
      <sharedItems containsNumber="1" containsSemiMixedTypes="0" containsString="0" minValue="0" maxValue="6.5331"/>
    </cacheField>
    <cacheField name="high_severity_defects" uniqueList="1" numFmtId="0" sqlType="0" hierarchy="0" level="0" databaseField="1">
      <sharedItems containsInteger="1" containsNumber="1" containsSemiMixedTypes="0" containsString="0" minValue="0" maxValue="5"/>
    </cacheField>
    <cacheField name="risk_score" uniqueList="1" numFmtId="0" sqlType="0" hierarchy="0" level="0" databaseField="1">
      <sharedItems containsNumber="1" containsSemiMixedTypes="0" containsString="0" minValue="13.5563" maxValue="82.40179999999999"/>
    </cacheField>
    <cacheField name="defects_prev_release" uniqueList="1" numFmtId="0" sqlType="0" hierarchy="0" level="0" databaseField="1">
      <sharedItems containsInteger="1" containsNumber="1" containsSemiMixedTypes="0" containsString="0" minValue="0" maxValue="15"/>
    </cacheField>
    <cacheField name="repeat_defect_flag" uniqueList="1" numFmtId="0" sqlType="0" hierarchy="0" level="0" databaseField="1">
      <sharedItems containsInteger="1" containsNumber="1" containsSemiMixedTypes="0" containsString="0" minValue="0" maxValue="1"/>
    </cacheField>
    <cacheField name="high_defect" uniqueList="1" numFmtId="0" sqlType="0" hierarchy="0" level="0" databaseField="1">
      <sharedItems containsInteger="1" containsNumber="1" containsSemiMixedTypes="0" containsString="0" minValue="0" maxValue="1"/>
    </cacheField>
    <cacheField name="complexity_outlier" uniqueList="1" numFmtId="0" sqlType="0" hierarchy="0" level="0" databaseField="1">
      <sharedItems count="2">
        <s v="No"/>
        <s v="Yes"/>
      </sharedItems>
    </cacheField>
    <cacheField name="complexity_band" uniqueList="1" numFmtId="0" sqlType="0" hierarchy="0" level="0" databaseField="1">
      <sharedItems count="4">
        <s v="Q1 (lowest)"/>
        <s v="Q2"/>
        <s v="Q3"/>
        <s v="Q4 (highest)"/>
      </sharedItems>
    </cacheField>
    <cacheField name="churn_band" uniqueList="1" numFmtId="0" sqlType="0" hierarchy="0" level="0" databaseField="1">
      <sharedItems count="4">
        <s v="Q1 (lowest)"/>
        <s v="Q2"/>
        <s v="Q3"/>
        <s v="Q4 (highest)"/>
      </sharedItems>
    </cacheField>
    <cacheField name="coverage_band" uniqueList="1" numFmtId="0" sqlType="0" hierarchy="0" level="0" databaseField="1">
      <sharedItems count="4">
        <s v="&lt;=40%"/>
        <s v="40-60%"/>
        <s v="60-80%"/>
        <s v="80%+"/>
      </sharedItems>
    </cacheField>
    <cacheField name="contributor_group" uniqueList="1" numFmtId="0" sqlType="0" hierarchy="0" level="0" databaseField="1">
      <sharedItems count="4">
        <s v="1-2"/>
        <s v="3-4"/>
        <s v="5-6"/>
        <s v="7+"/>
      </sharedItems>
    </cacheField>
  </cacheFields>
</pivotCacheDefinition>
</file>

<file path=xl/pivotCache/pivotCacheRecords1.xml><?xml version="1.0" encoding="utf-8"?>
<pivotCacheRecords xmlns="http://schemas.openxmlformats.org/spreadsheetml/2006/main" count="235">
  <r>
    <x v="22"/>
    <x v="0"/>
    <x v="3"/>
    <x v="0"/>
    <d v="2024-01-15T00:00:00"/>
    <n v="1"/>
    <n v="2376"/>
    <n v="14.43"/>
    <n v="10.44"/>
    <n v="159.9"/>
    <n v="89.90000000000001"/>
    <n v="5"/>
    <n v="3"/>
    <n v="204"/>
    <n v="0"/>
    <n v="0"/>
    <n v="0"/>
    <n v="0"/>
    <n v="0"/>
    <n v="31.98"/>
    <n v="0"/>
    <n v="0"/>
    <n v="20.34918305"/>
    <n v="0"/>
    <n v="0"/>
    <n v="0"/>
    <x v="0"/>
    <x v="1"/>
    <x v="0"/>
    <x v="3"/>
    <x v="1"/>
  </r>
  <r>
    <x v="22"/>
    <x v="0"/>
    <x v="3"/>
    <x v="1"/>
    <d v="2024-05-20T00:00:00"/>
    <n v="2"/>
    <n v="2376"/>
    <n v="13.595"/>
    <n v="5.53"/>
    <n v="373.1"/>
    <n v="88.3"/>
    <n v="12"/>
    <n v="5"/>
    <n v="459"/>
    <n v="0"/>
    <n v="0"/>
    <n v="0"/>
    <n v="0"/>
    <n v="0"/>
    <n v="31.09166667"/>
    <n v="0"/>
    <n v="0"/>
    <n v="26.03810578"/>
    <n v="0"/>
    <n v="0"/>
    <n v="0"/>
    <x v="0"/>
    <x v="1"/>
    <x v="2"/>
    <x v="3"/>
    <x v="2"/>
  </r>
  <r>
    <x v="22"/>
    <x v="0"/>
    <x v="3"/>
    <x v="2"/>
    <d v="2024-09-10T00:00:00"/>
    <n v="3"/>
    <n v="2376"/>
    <n v="12.76"/>
    <n v="9.970000000000001"/>
    <n v="266.5"/>
    <n v="93.09999999999999"/>
    <n v="12"/>
    <n v="3"/>
    <n v="557"/>
    <n v="0"/>
    <n v="0"/>
    <n v="0"/>
    <n v="0"/>
    <n v="0"/>
    <n v="22.20833333"/>
    <n v="0"/>
    <n v="0"/>
    <n v="20.04004117"/>
    <n v="0"/>
    <n v="0"/>
    <n v="0"/>
    <x v="0"/>
    <x v="1"/>
    <x v="1"/>
    <x v="3"/>
    <x v="1"/>
  </r>
  <r>
    <x v="22"/>
    <x v="0"/>
    <x v="3"/>
    <x v="3"/>
    <d v="2025-02-18T00:00:00"/>
    <n v="4"/>
    <n v="2376"/>
    <n v="19.7"/>
    <n v="11.34"/>
    <n v="84.59999999999999"/>
    <n v="91"/>
    <n v="3"/>
    <n v="2"/>
    <n v="113"/>
    <n v="0"/>
    <n v="0"/>
    <n v="0"/>
    <n v="0"/>
    <n v="0"/>
    <n v="28.2"/>
    <n v="0"/>
    <n v="0"/>
    <n v="23.37741279"/>
    <n v="0"/>
    <n v="0"/>
    <n v="0"/>
    <x v="0"/>
    <x v="3"/>
    <x v="0"/>
    <x v="3"/>
    <x v="0"/>
  </r>
  <r>
    <x v="22"/>
    <x v="0"/>
    <x v="3"/>
    <x v="4"/>
    <d v="2025-07-01T00:00:00"/>
    <n v="5"/>
    <n v="2376"/>
    <n v="10.27"/>
    <n v="10.94"/>
    <n v="1161.8"/>
    <n v="87.40000000000001"/>
    <n v="32"/>
    <n v="8"/>
    <n v="1771"/>
    <n v="1"/>
    <n v="2"/>
    <n v="0"/>
    <n v="1"/>
    <n v="4"/>
    <n v="36.30625"/>
    <n v="1.683501684"/>
    <n v="1"/>
    <n v="44.54417951"/>
    <n v="0"/>
    <n v="0"/>
    <n v="1"/>
    <x v="0"/>
    <x v="0"/>
    <x v="3"/>
    <x v="3"/>
    <x v="3"/>
  </r>
  <r>
    <x v="0"/>
    <x v="0"/>
    <x v="1"/>
    <x v="0"/>
    <d v="2024-01-15T00:00:00"/>
    <n v="1"/>
    <n v="2296"/>
    <n v="22.02"/>
    <n v="15.16"/>
    <n v="1249.4"/>
    <n v="37"/>
    <n v="59"/>
    <n v="9"/>
    <n v="1964"/>
    <n v="7"/>
    <n v="3"/>
    <n v="2"/>
    <n v="3"/>
    <n v="15"/>
    <n v="21.17627119"/>
    <n v="6.533101045"/>
    <n v="5"/>
    <n v="82.40176473"/>
    <n v="0"/>
    <n v="1"/>
    <n v="1"/>
    <x v="0"/>
    <x v="3"/>
    <x v="3"/>
    <x v="0"/>
    <x v="3"/>
  </r>
  <r>
    <x v="0"/>
    <x v="0"/>
    <x v="1"/>
    <x v="1"/>
    <d v="2024-05-20T00:00:00"/>
    <n v="2"/>
    <n v="2296"/>
    <n v="15.56"/>
    <n v="10.71"/>
    <n v="178"/>
    <n v="37.7"/>
    <n v="5"/>
    <n v="2"/>
    <n v="299"/>
    <n v="0"/>
    <n v="1"/>
    <n v="1"/>
    <n v="0"/>
    <n v="2"/>
    <n v="35.6"/>
    <n v="0.8710801394"/>
    <n v="1"/>
    <n v="45.84805272"/>
    <n v="15"/>
    <n v="1"/>
    <n v="0"/>
    <x v="0"/>
    <x v="2"/>
    <x v="1"/>
    <x v="0"/>
    <x v="0"/>
  </r>
  <r>
    <x v="0"/>
    <x v="0"/>
    <x v="1"/>
    <x v="2"/>
    <d v="2024-09-10T00:00:00"/>
    <n v="3"/>
    <n v="2296"/>
    <n v="23.84"/>
    <n v="16.97"/>
    <n v="568.9"/>
    <n v="44.5"/>
    <n v="18"/>
    <n v="4"/>
    <n v="654"/>
    <n v="2"/>
    <n v="3"/>
    <n v="1"/>
    <n v="0"/>
    <n v="6"/>
    <n v="31.60555556"/>
    <n v="2.613240418"/>
    <n v="1"/>
    <n v="62.25519124"/>
    <n v="2"/>
    <n v="1"/>
    <n v="1"/>
    <x v="0"/>
    <x v="3"/>
    <x v="3"/>
    <x v="1"/>
    <x v="1"/>
  </r>
  <r>
    <x v="0"/>
    <x v="0"/>
    <x v="1"/>
    <x v="3"/>
    <d v="2025-02-18T00:00:00"/>
    <n v="4"/>
    <n v="2296"/>
    <n v="19.525"/>
    <n v="12.97"/>
    <n v="114"/>
    <n v="44.9"/>
    <n v="3"/>
    <n v="2"/>
    <n v="127"/>
    <n v="1"/>
    <n v="0"/>
    <n v="0"/>
    <n v="0"/>
    <n v="1"/>
    <n v="38"/>
    <n v="0.4355400697"/>
    <n v="0"/>
    <n v="45.0191896"/>
    <n v="6"/>
    <n v="1"/>
    <n v="0"/>
    <x v="0"/>
    <x v="2"/>
    <x v="0"/>
    <x v="1"/>
    <x v="0"/>
  </r>
  <r>
    <x v="0"/>
    <x v="0"/>
    <x v="1"/>
    <x v="4"/>
    <d v="2025-07-01T00:00:00"/>
    <n v="5"/>
    <n v="2296"/>
    <n v="17.03"/>
    <n v="10.78"/>
    <n v="455.5"/>
    <n v="41.1"/>
    <n v="16"/>
    <n v="5"/>
    <n v="574"/>
    <n v="3"/>
    <n v="1"/>
    <n v="1"/>
    <n v="0"/>
    <n v="5"/>
    <n v="28.46875"/>
    <n v="2.177700348"/>
    <n v="1"/>
    <n v="53.46695974"/>
    <n v="1"/>
    <n v="1"/>
    <n v="1"/>
    <x v="0"/>
    <x v="2"/>
    <x v="3"/>
    <x v="1"/>
    <x v="2"/>
  </r>
  <r>
    <x v="41"/>
    <x v="0"/>
    <x v="1"/>
    <x v="0"/>
    <d v="2024-01-15T00:00:00"/>
    <n v="1"/>
    <n v="2080"/>
    <n v="11.04"/>
    <n v="8.789999999999999"/>
    <n v="298.45"/>
    <n v="72.40000000000001"/>
    <n v="7"/>
    <n v="2"/>
    <n v="292"/>
    <n v="0"/>
    <n v="0"/>
    <n v="0"/>
    <n v="0"/>
    <n v="0"/>
    <n v="42.63571429"/>
    <n v="0"/>
    <n v="0"/>
    <n v="28.52930182"/>
    <n v="0"/>
    <n v="0"/>
    <n v="0"/>
    <x v="0"/>
    <x v="1"/>
    <x v="2"/>
    <x v="2"/>
    <x v="0"/>
  </r>
  <r>
    <x v="41"/>
    <x v="0"/>
    <x v="1"/>
    <x v="1"/>
    <d v="2024-05-20T00:00:00"/>
    <n v="2"/>
    <n v="2080"/>
    <n v="12.64"/>
    <n v="5.9"/>
    <n v="300.3"/>
    <n v="76.8"/>
    <n v="11"/>
    <n v="4"/>
    <n v="409"/>
    <n v="0"/>
    <n v="0"/>
    <n v="0"/>
    <n v="0"/>
    <n v="0"/>
    <n v="27.3"/>
    <n v="0"/>
    <n v="0"/>
    <n v="28.2721569"/>
    <n v="0"/>
    <n v="0"/>
    <n v="0"/>
    <x v="0"/>
    <x v="1"/>
    <x v="2"/>
    <x v="2"/>
    <x v="1"/>
  </r>
  <r>
    <x v="41"/>
    <x v="0"/>
    <x v="1"/>
    <x v="2"/>
    <d v="2024-09-10T00:00:00"/>
    <n v="3"/>
    <n v="2080"/>
    <n v="7.97"/>
    <n v="7.01"/>
    <n v="296.6"/>
    <n v="69"/>
    <n v="14"/>
    <n v="5"/>
    <n v="521"/>
    <n v="0"/>
    <n v="0"/>
    <n v="0"/>
    <n v="0"/>
    <n v="0"/>
    <n v="21.18571429"/>
    <n v="0"/>
    <n v="0"/>
    <n v="26.76994083"/>
    <n v="0"/>
    <n v="0"/>
    <n v="0"/>
    <x v="0"/>
    <x v="0"/>
    <x v="2"/>
    <x v="2"/>
    <x v="2"/>
  </r>
  <r>
    <x v="41"/>
    <x v="0"/>
    <x v="1"/>
    <x v="3"/>
    <d v="2025-02-18T00:00:00"/>
    <n v="4"/>
    <n v="2080"/>
    <n v="13.22"/>
    <n v="10.13"/>
    <n v="335.6"/>
    <n v="73.3"/>
    <n v="8"/>
    <n v="4"/>
    <n v="379"/>
    <n v="0"/>
    <n v="0"/>
    <n v="0"/>
    <n v="0"/>
    <n v="0"/>
    <n v="41.95"/>
    <n v="0"/>
    <n v="0"/>
    <n v="31.45174769"/>
    <n v="0"/>
    <n v="0"/>
    <n v="0"/>
    <x v="0"/>
    <x v="1"/>
    <x v="2"/>
    <x v="2"/>
    <x v="1"/>
  </r>
  <r>
    <x v="41"/>
    <x v="0"/>
    <x v="1"/>
    <x v="4"/>
    <d v="2025-07-01T00:00:00"/>
    <n v="5"/>
    <n v="2080"/>
    <n v="11.63"/>
    <n v="9.74"/>
    <n v="243.7"/>
    <n v="81"/>
    <n v="9"/>
    <n v="3"/>
    <n v="434"/>
    <n v="0"/>
    <n v="0"/>
    <n v="0"/>
    <n v="0"/>
    <n v="0"/>
    <n v="27.07777778"/>
    <n v="0"/>
    <n v="0"/>
    <n v="23.73286743"/>
    <n v="0"/>
    <n v="0"/>
    <n v="0"/>
    <x v="0"/>
    <x v="1"/>
    <x v="1"/>
    <x v="3"/>
    <x v="1"/>
  </r>
  <r>
    <x v="42"/>
    <x v="0"/>
    <x v="1"/>
    <x v="0"/>
    <d v="2024-01-15T00:00:00"/>
    <n v="1"/>
    <n v="2143"/>
    <n v="15.88"/>
    <n v="10.22"/>
    <n v="395.9"/>
    <n v="70.8"/>
    <n v="12"/>
    <n v="5"/>
    <n v="694"/>
    <n v="0"/>
    <n v="0"/>
    <n v="0"/>
    <n v="0"/>
    <n v="0"/>
    <n v="32.99166667"/>
    <n v="0"/>
    <n v="0"/>
    <n v="37.06888619"/>
    <n v="0"/>
    <n v="0"/>
    <n v="0"/>
    <x v="0"/>
    <x v="2"/>
    <x v="2"/>
    <x v="2"/>
    <x v="2"/>
  </r>
  <r>
    <x v="42"/>
    <x v="0"/>
    <x v="1"/>
    <x v="1"/>
    <d v="2024-05-20T00:00:00"/>
    <n v="2"/>
    <n v="2143"/>
    <n v="17.3"/>
    <n v="10.03"/>
    <n v="398.1"/>
    <n v="77.3"/>
    <n v="10"/>
    <n v="4"/>
    <n v="660"/>
    <n v="0"/>
    <n v="0"/>
    <n v="0"/>
    <n v="0"/>
    <n v="0"/>
    <n v="39.81"/>
    <n v="0"/>
    <n v="0"/>
    <n v="35.6726628"/>
    <n v="0"/>
    <n v="0"/>
    <n v="0"/>
    <x v="0"/>
    <x v="2"/>
    <x v="3"/>
    <x v="2"/>
    <x v="1"/>
  </r>
  <r>
    <x v="42"/>
    <x v="0"/>
    <x v="1"/>
    <x v="2"/>
    <d v="2024-09-10T00:00:00"/>
    <n v="3"/>
    <n v="2143"/>
    <n v="12.02"/>
    <n v="10.24"/>
    <n v="376.2"/>
    <n v="69.2"/>
    <n v="13"/>
    <n v="4"/>
    <n v="501"/>
    <n v="0"/>
    <n v="0"/>
    <n v="0"/>
    <n v="0"/>
    <n v="0"/>
    <n v="28.93846154"/>
    <n v="0"/>
    <n v="0"/>
    <n v="33.16066062"/>
    <n v="0"/>
    <n v="0"/>
    <n v="0"/>
    <x v="0"/>
    <x v="1"/>
    <x v="2"/>
    <x v="2"/>
    <x v="1"/>
  </r>
  <r>
    <x v="42"/>
    <x v="0"/>
    <x v="1"/>
    <x v="3"/>
    <d v="2025-02-18T00:00:00"/>
    <n v="4"/>
    <n v="2143"/>
    <n v="15.4"/>
    <n v="12.69"/>
    <n v="75.09999999999999"/>
    <n v="55.7"/>
    <n v="2"/>
    <n v="2"/>
    <n v="83"/>
    <n v="0"/>
    <n v="0"/>
    <n v="0"/>
    <n v="0"/>
    <n v="0"/>
    <n v="37.55"/>
    <n v="0"/>
    <n v="0"/>
    <n v="34.64884724"/>
    <n v="0"/>
    <n v="0"/>
    <n v="0"/>
    <x v="0"/>
    <x v="2"/>
    <x v="0"/>
    <x v="1"/>
    <x v="0"/>
  </r>
  <r>
    <x v="42"/>
    <x v="0"/>
    <x v="1"/>
    <x v="4"/>
    <d v="2025-07-01T00:00:00"/>
    <n v="5"/>
    <n v="2143"/>
    <n v="13.44"/>
    <n v="10.51"/>
    <n v="210.6"/>
    <n v="70.8"/>
    <n v="6"/>
    <n v="2"/>
    <n v="356"/>
    <n v="0"/>
    <n v="0"/>
    <n v="0"/>
    <n v="0"/>
    <n v="0"/>
    <n v="35.1"/>
    <n v="0"/>
    <n v="0"/>
    <n v="29.39790356"/>
    <n v="0"/>
    <n v="0"/>
    <n v="0"/>
    <x v="0"/>
    <x v="1"/>
    <x v="1"/>
    <x v="2"/>
    <x v="0"/>
  </r>
  <r>
    <x v="32"/>
    <x v="0"/>
    <x v="1"/>
    <x v="0"/>
    <d v="2024-01-15T00:00:00"/>
    <n v="1"/>
    <n v="2768"/>
    <n v="8.08"/>
    <n v="6.73"/>
    <n v="308.6"/>
    <n v="69.90000000000001"/>
    <n v="8"/>
    <n v="3"/>
    <n v="464"/>
    <n v="0"/>
    <n v="0"/>
    <n v="0"/>
    <n v="0"/>
    <n v="0"/>
    <n v="38.575"/>
    <n v="0"/>
    <n v="0"/>
    <n v="26.80534548"/>
    <n v="0"/>
    <n v="0"/>
    <n v="0"/>
    <x v="0"/>
    <x v="0"/>
    <x v="2"/>
    <x v="2"/>
    <x v="1"/>
  </r>
  <r>
    <x v="32"/>
    <x v="0"/>
    <x v="1"/>
    <x v="1"/>
    <d v="2024-05-20T00:00:00"/>
    <n v="2"/>
    <n v="2768"/>
    <n v="2"/>
    <n v="5.15"/>
    <n v="169.9"/>
    <n v="74.5"/>
    <n v="7"/>
    <n v="2"/>
    <n v="201"/>
    <n v="0"/>
    <n v="0"/>
    <n v="0"/>
    <n v="0"/>
    <n v="0"/>
    <n v="24.27142857"/>
    <n v="0"/>
    <n v="0"/>
    <n v="14.45038824"/>
    <n v="0"/>
    <n v="0"/>
    <n v="0"/>
    <x v="0"/>
    <x v="0"/>
    <x v="1"/>
    <x v="2"/>
    <x v="0"/>
  </r>
  <r>
    <x v="32"/>
    <x v="0"/>
    <x v="1"/>
    <x v="2"/>
    <d v="2024-09-10T00:00:00"/>
    <n v="3"/>
    <n v="2768"/>
    <n v="8.140000000000001"/>
    <n v="9.92"/>
    <n v="277.6"/>
    <n v="67.7"/>
    <n v="7"/>
    <n v="3"/>
    <n v="476"/>
    <n v="0"/>
    <n v="0"/>
    <n v="1"/>
    <n v="0"/>
    <n v="1"/>
    <n v="39.65714286"/>
    <n v="0.3612716763"/>
    <n v="1"/>
    <n v="27.02224132"/>
    <n v="0"/>
    <n v="0"/>
    <n v="0"/>
    <x v="0"/>
    <x v="0"/>
    <x v="1"/>
    <x v="2"/>
    <x v="1"/>
  </r>
  <r>
    <x v="32"/>
    <x v="0"/>
    <x v="1"/>
    <x v="3"/>
    <d v="2025-02-18T00:00:00"/>
    <n v="4"/>
    <n v="2768"/>
    <n v="2"/>
    <n v="3.87"/>
    <n v="457.3"/>
    <n v="69.7"/>
    <n v="12"/>
    <n v="3"/>
    <n v="552"/>
    <n v="0"/>
    <n v="0"/>
    <n v="0"/>
    <n v="0"/>
    <n v="0"/>
    <n v="38.10833333"/>
    <n v="0"/>
    <n v="0"/>
    <n v="24.51940434"/>
    <n v="1"/>
    <n v="0"/>
    <n v="0"/>
    <x v="0"/>
    <x v="0"/>
    <x v="3"/>
    <x v="2"/>
    <x v="1"/>
  </r>
  <r>
    <x v="32"/>
    <x v="0"/>
    <x v="1"/>
    <x v="4"/>
    <d v="2025-07-01T00:00:00"/>
    <n v="5"/>
    <n v="2768"/>
    <n v="3.89"/>
    <n v="3.13"/>
    <n v="397.5"/>
    <n v="67.40000000000001"/>
    <n v="11"/>
    <n v="3"/>
    <n v="497"/>
    <n v="0"/>
    <n v="0"/>
    <n v="0"/>
    <n v="1"/>
    <n v="1"/>
    <n v="36.13636364"/>
    <n v="0.3612716763"/>
    <n v="1"/>
    <n v="25.93490647"/>
    <n v="0"/>
    <n v="0"/>
    <n v="0"/>
    <x v="0"/>
    <x v="0"/>
    <x v="3"/>
    <x v="2"/>
    <x v="1"/>
  </r>
  <r>
    <x v="12"/>
    <x v="0"/>
    <x v="1"/>
    <x v="0"/>
    <d v="2024-01-15T00:00:00"/>
    <n v="1"/>
    <n v="3370"/>
    <n v="3.76"/>
    <n v="8.52"/>
    <n v="486.1"/>
    <n v="76.8"/>
    <n v="22"/>
    <n v="6"/>
    <n v="721"/>
    <n v="0"/>
    <n v="0"/>
    <n v="0"/>
    <n v="0"/>
    <n v="0"/>
    <n v="22.09545455"/>
    <n v="0"/>
    <n v="0"/>
    <n v="23.93986392"/>
    <n v="0"/>
    <n v="0"/>
    <n v="0"/>
    <x v="0"/>
    <x v="0"/>
    <x v="3"/>
    <x v="2"/>
    <x v="2"/>
  </r>
  <r>
    <x v="12"/>
    <x v="0"/>
    <x v="1"/>
    <x v="1"/>
    <d v="2024-05-20T00:00:00"/>
    <n v="2"/>
    <n v="3370"/>
    <n v="9.630000000000001"/>
    <n v="7.21"/>
    <n v="165.6"/>
    <n v="69.5"/>
    <n v="5"/>
    <n v="2"/>
    <n v="237"/>
    <n v="0"/>
    <n v="0"/>
    <n v="0"/>
    <n v="0"/>
    <n v="0"/>
    <n v="33.12"/>
    <n v="0"/>
    <n v="0"/>
    <n v="24.71225579"/>
    <n v="0"/>
    <n v="0"/>
    <n v="0"/>
    <x v="0"/>
    <x v="0"/>
    <x v="1"/>
    <x v="2"/>
    <x v="0"/>
  </r>
  <r>
    <x v="12"/>
    <x v="0"/>
    <x v="1"/>
    <x v="2"/>
    <d v="2024-09-10T00:00:00"/>
    <n v="3"/>
    <n v="3370"/>
    <n v="2.14"/>
    <n v="6.41"/>
    <n v="600.8"/>
    <n v="76.5"/>
    <n v="21"/>
    <n v="5"/>
    <n v="917"/>
    <n v="0"/>
    <n v="1"/>
    <n v="1"/>
    <n v="0"/>
    <n v="2"/>
    <n v="28.60952381"/>
    <n v="0.5934718101000001"/>
    <n v="1"/>
    <n v="25.5018821"/>
    <n v="0"/>
    <n v="0"/>
    <n v="0"/>
    <x v="0"/>
    <x v="0"/>
    <x v="3"/>
    <x v="2"/>
    <x v="2"/>
  </r>
  <r>
    <x v="12"/>
    <x v="0"/>
    <x v="1"/>
    <x v="3"/>
    <d v="2025-02-18T00:00:00"/>
    <n v="4"/>
    <n v="3370"/>
    <n v="10.09"/>
    <n v="6.97"/>
    <n v="106.4"/>
    <n v="74.3"/>
    <n v="4"/>
    <n v="2"/>
    <n v="147"/>
    <n v="0"/>
    <n v="0"/>
    <n v="0"/>
    <n v="0"/>
    <n v="0"/>
    <n v="26.6"/>
    <n v="0"/>
    <n v="0"/>
    <n v="21.38858854"/>
    <n v="2"/>
    <n v="0"/>
    <n v="0"/>
    <x v="0"/>
    <x v="0"/>
    <x v="0"/>
    <x v="2"/>
    <x v="0"/>
  </r>
  <r>
    <x v="12"/>
    <x v="0"/>
    <x v="1"/>
    <x v="4"/>
    <d v="2025-07-01T00:00:00"/>
    <n v="5"/>
    <n v="3370"/>
    <n v="3.79"/>
    <n v="4.6"/>
    <n v="325.85"/>
    <n v="75.09999999999999"/>
    <n v="13"/>
    <n v="5"/>
    <n v="552"/>
    <n v="3"/>
    <n v="0"/>
    <n v="0"/>
    <n v="1"/>
    <n v="4"/>
    <n v="25.06538462"/>
    <n v="1.18694362"/>
    <n v="1"/>
    <n v="20.35300285"/>
    <n v="0"/>
    <n v="0"/>
    <n v="1"/>
    <x v="0"/>
    <x v="0"/>
    <x v="2"/>
    <x v="2"/>
    <x v="2"/>
  </r>
  <r>
    <x v="23"/>
    <x v="0"/>
    <x v="1"/>
    <x v="0"/>
    <d v="2024-01-15T00:00:00"/>
    <n v="1"/>
    <n v="833"/>
    <n v="15.38"/>
    <n v="12.85"/>
    <n v="254.3"/>
    <n v="63.1"/>
    <n v="13"/>
    <n v="3"/>
    <n v="322"/>
    <n v="0"/>
    <n v="0"/>
    <n v="0"/>
    <n v="0"/>
    <n v="0"/>
    <n v="19.56153846"/>
    <n v="0"/>
    <n v="0"/>
    <n v="36.16673573"/>
    <n v="0"/>
    <n v="0"/>
    <n v="0"/>
    <x v="0"/>
    <x v="2"/>
    <x v="1"/>
    <x v="2"/>
    <x v="1"/>
  </r>
  <r>
    <x v="23"/>
    <x v="0"/>
    <x v="1"/>
    <x v="1"/>
    <d v="2024-05-20T00:00:00"/>
    <n v="2"/>
    <n v="833"/>
    <n v="16.07"/>
    <n v="8.66"/>
    <n v="254"/>
    <n v="51.4"/>
    <n v="10"/>
    <n v="2"/>
    <n v="283"/>
    <n v="0"/>
    <n v="0"/>
    <n v="0"/>
    <n v="0"/>
    <n v="0"/>
    <n v="25.4"/>
    <n v="0"/>
    <n v="0"/>
    <n v="42.22615141"/>
    <n v="0"/>
    <n v="0"/>
    <n v="0"/>
    <x v="0"/>
    <x v="2"/>
    <x v="1"/>
    <x v="1"/>
    <x v="0"/>
  </r>
  <r>
    <x v="23"/>
    <x v="0"/>
    <x v="1"/>
    <x v="2"/>
    <d v="2024-09-10T00:00:00"/>
    <n v="3"/>
    <n v="833"/>
    <n v="16.37"/>
    <n v="13.41"/>
    <n v="422.8"/>
    <n v="61.5"/>
    <n v="16"/>
    <n v="5"/>
    <n v="691"/>
    <n v="0"/>
    <n v="0"/>
    <n v="1"/>
    <n v="1"/>
    <n v="2"/>
    <n v="26.425"/>
    <n v="2.400960384"/>
    <n v="2"/>
    <n v="42.56739443"/>
    <n v="0"/>
    <n v="0"/>
    <n v="0"/>
    <x v="0"/>
    <x v="2"/>
    <x v="3"/>
    <x v="2"/>
    <x v="2"/>
  </r>
  <r>
    <x v="23"/>
    <x v="0"/>
    <x v="1"/>
    <x v="3"/>
    <d v="2025-02-18T00:00:00"/>
    <n v="4"/>
    <n v="833"/>
    <n v="16.18"/>
    <n v="12.85"/>
    <n v="446.1"/>
    <n v="53.4"/>
    <n v="11"/>
    <n v="4"/>
    <n v="519"/>
    <n v="1"/>
    <n v="0"/>
    <n v="0"/>
    <n v="0"/>
    <n v="1"/>
    <n v="40.55454545"/>
    <n v="1.200480192"/>
    <n v="0"/>
    <n v="46.69813013"/>
    <n v="2"/>
    <n v="0"/>
    <n v="0"/>
    <x v="0"/>
    <x v="2"/>
    <x v="3"/>
    <x v="1"/>
    <x v="1"/>
  </r>
  <r>
    <x v="23"/>
    <x v="0"/>
    <x v="1"/>
    <x v="4"/>
    <d v="2025-07-01T00:00:00"/>
    <n v="5"/>
    <n v="833"/>
    <n v="15.06"/>
    <n v="9.75"/>
    <n v="594.2"/>
    <n v="59.5"/>
    <n v="24"/>
    <n v="5"/>
    <n v="671"/>
    <n v="1"/>
    <n v="0"/>
    <n v="0"/>
    <n v="0"/>
    <n v="1"/>
    <n v="24.75833333"/>
    <n v="1.200480192"/>
    <n v="0"/>
    <n v="46.78835332"/>
    <n v="1"/>
    <n v="0"/>
    <n v="0"/>
    <x v="0"/>
    <x v="2"/>
    <x v="3"/>
    <x v="1"/>
    <x v="2"/>
  </r>
  <r>
    <x v="16"/>
    <x v="0"/>
    <x v="3"/>
    <x v="0"/>
    <d v="2024-01-15T00:00:00"/>
    <n v="1"/>
    <n v="2285"/>
    <n v="20.33"/>
    <n v="7.05"/>
    <n v="165.7"/>
    <n v="31.1"/>
    <n v="4"/>
    <n v="2"/>
    <n v="266"/>
    <n v="2"/>
    <n v="0"/>
    <n v="0"/>
    <n v="0"/>
    <n v="2"/>
    <n v="41.425"/>
    <n v="0.8752735230000001"/>
    <n v="0"/>
    <n v="53.58406865"/>
    <n v="0"/>
    <n v="1"/>
    <n v="0"/>
    <x v="0"/>
    <x v="3"/>
    <x v="1"/>
    <x v="0"/>
    <x v="0"/>
  </r>
  <r>
    <x v="16"/>
    <x v="0"/>
    <x v="3"/>
    <x v="1"/>
    <d v="2024-05-20T00:00:00"/>
    <n v="2"/>
    <n v="2285"/>
    <n v="13.18"/>
    <n v="8.77"/>
    <n v="118.5"/>
    <n v="37.4"/>
    <n v="5"/>
    <n v="2"/>
    <n v="208"/>
    <n v="1"/>
    <n v="0"/>
    <n v="0"/>
    <n v="0"/>
    <n v="1"/>
    <n v="23.7"/>
    <n v="0.4376367615"/>
    <n v="0"/>
    <n v="41.82687915"/>
    <n v="2"/>
    <n v="1"/>
    <n v="0"/>
    <x v="0"/>
    <x v="1"/>
    <x v="0"/>
    <x v="0"/>
    <x v="0"/>
  </r>
  <r>
    <x v="16"/>
    <x v="0"/>
    <x v="3"/>
    <x v="2"/>
    <d v="2024-09-10T00:00:00"/>
    <n v="3"/>
    <n v="2285"/>
    <n v="21.57"/>
    <n v="13.64"/>
    <n v="104"/>
    <n v="28.2"/>
    <n v="2"/>
    <n v="1"/>
    <n v="164"/>
    <n v="0"/>
    <n v="1"/>
    <n v="0"/>
    <n v="0"/>
    <n v="1"/>
    <n v="52"/>
    <n v="0.4376367615"/>
    <n v="0"/>
    <n v="54.53105118"/>
    <n v="1"/>
    <n v="1"/>
    <n v="0"/>
    <x v="0"/>
    <x v="3"/>
    <x v="0"/>
    <x v="0"/>
    <x v="0"/>
  </r>
  <r>
    <x v="16"/>
    <x v="0"/>
    <x v="3"/>
    <x v="3"/>
    <d v="2025-02-18T00:00:00"/>
    <n v="4"/>
    <n v="2285"/>
    <n v="11.35"/>
    <n v="7.6"/>
    <n v="130.2"/>
    <n v="45"/>
    <n v="3"/>
    <n v="2"/>
    <n v="173"/>
    <n v="0"/>
    <n v="1"/>
    <n v="0"/>
    <n v="0"/>
    <n v="1"/>
    <n v="43.4"/>
    <n v="0.4376367615"/>
    <n v="0"/>
    <n v="36.73943455"/>
    <n v="1"/>
    <n v="1"/>
    <n v="0"/>
    <x v="0"/>
    <x v="1"/>
    <x v="0"/>
    <x v="1"/>
    <x v="0"/>
  </r>
  <r>
    <x v="16"/>
    <x v="0"/>
    <x v="3"/>
    <x v="4"/>
    <d v="2025-07-01T00:00:00"/>
    <n v="5"/>
    <n v="2285"/>
    <n v="13.69"/>
    <n v="11.97"/>
    <n v="100.2"/>
    <n v="29.5"/>
    <n v="2"/>
    <n v="1"/>
    <n v="120"/>
    <n v="0"/>
    <n v="0"/>
    <n v="0"/>
    <n v="0"/>
    <n v="0"/>
    <n v="50.1"/>
    <n v="0"/>
    <n v="0"/>
    <n v="45.46888308"/>
    <n v="1"/>
    <n v="1"/>
    <n v="0"/>
    <x v="0"/>
    <x v="1"/>
    <x v="0"/>
    <x v="0"/>
    <x v="0"/>
  </r>
  <r>
    <x v="17"/>
    <x v="1"/>
    <x v="1"/>
    <x v="0"/>
    <d v="2024-01-15T00:00:00"/>
    <n v="1"/>
    <n v="3186"/>
    <n v="18.26"/>
    <n v="11.03"/>
    <n v="76.40000000000001"/>
    <n v="67"/>
    <n v="2"/>
    <n v="2"/>
    <n v="116"/>
    <n v="0"/>
    <n v="0"/>
    <n v="0"/>
    <n v="0"/>
    <n v="0"/>
    <n v="38.2"/>
    <n v="0"/>
    <n v="0"/>
    <n v="32.56782664"/>
    <n v="0"/>
    <n v="0"/>
    <n v="0"/>
    <x v="0"/>
    <x v="2"/>
    <x v="0"/>
    <x v="2"/>
    <x v="0"/>
  </r>
  <r>
    <x v="17"/>
    <x v="1"/>
    <x v="1"/>
    <x v="1"/>
    <d v="2024-05-20T00:00:00"/>
    <n v="2"/>
    <n v="3186"/>
    <n v="17.65"/>
    <n v="12.89"/>
    <n v="237.5"/>
    <n v="74.7"/>
    <n v="11"/>
    <n v="3"/>
    <n v="424"/>
    <n v="0"/>
    <n v="0"/>
    <n v="0"/>
    <n v="0"/>
    <n v="0"/>
    <n v="21.59090909"/>
    <n v="0"/>
    <n v="0"/>
    <n v="32.82630454"/>
    <n v="0"/>
    <n v="0"/>
    <n v="0"/>
    <x v="0"/>
    <x v="2"/>
    <x v="1"/>
    <x v="2"/>
    <x v="1"/>
  </r>
  <r>
    <x v="17"/>
    <x v="1"/>
    <x v="1"/>
    <x v="2"/>
    <d v="2024-09-10T00:00:00"/>
    <n v="3"/>
    <n v="3186"/>
    <n v="22.05"/>
    <n v="13.54"/>
    <n v="322.5"/>
    <n v="77"/>
    <n v="13"/>
    <n v="4"/>
    <n v="512"/>
    <n v="1"/>
    <n v="0"/>
    <n v="1"/>
    <n v="0"/>
    <n v="2"/>
    <n v="24.80769231"/>
    <n v="0.6277463905"/>
    <n v="1"/>
    <n v="38.77904473"/>
    <n v="0"/>
    <n v="0"/>
    <n v="0"/>
    <x v="0"/>
    <x v="3"/>
    <x v="2"/>
    <x v="2"/>
    <x v="1"/>
  </r>
  <r>
    <x v="17"/>
    <x v="1"/>
    <x v="1"/>
    <x v="3"/>
    <d v="2025-02-18T00:00:00"/>
    <n v="4"/>
    <n v="3186"/>
    <n v="20.37"/>
    <n v="13.87"/>
    <n v="779.3"/>
    <n v="69.5"/>
    <n v="32"/>
    <n v="5"/>
    <n v="1090"/>
    <n v="2"/>
    <n v="0"/>
    <n v="1"/>
    <n v="0"/>
    <n v="3"/>
    <n v="24.353125"/>
    <n v="0.9416195857"/>
    <n v="1"/>
    <n v="52.94059776"/>
    <n v="2"/>
    <n v="0"/>
    <n v="1"/>
    <x v="0"/>
    <x v="3"/>
    <x v="3"/>
    <x v="2"/>
    <x v="2"/>
  </r>
  <r>
    <x v="17"/>
    <x v="1"/>
    <x v="1"/>
    <x v="4"/>
    <d v="2025-07-01T00:00:00"/>
    <n v="5"/>
    <n v="3186"/>
    <n v="19.315"/>
    <n v="7.05"/>
    <n v="108.4"/>
    <n v="67.3"/>
    <n v="3"/>
    <n v="1"/>
    <n v="162"/>
    <n v="0"/>
    <n v="0"/>
    <n v="0"/>
    <n v="0"/>
    <n v="0"/>
    <n v="36.13333333"/>
    <n v="0"/>
    <n v="0"/>
    <n v="34.42839472"/>
    <n v="3"/>
    <n v="0"/>
    <n v="0"/>
    <x v="0"/>
    <x v="2"/>
    <x v="0"/>
    <x v="2"/>
    <x v="0"/>
  </r>
  <r>
    <x v="43"/>
    <x v="1"/>
    <x v="1"/>
    <x v="0"/>
    <d v="2024-01-15T00:00:00"/>
    <n v="1"/>
    <n v="1070"/>
    <n v="9.484999999999999"/>
    <n v="9.800000000000001"/>
    <n v="191.6"/>
    <n v="77.7"/>
    <n v="7"/>
    <n v="3"/>
    <n v="233"/>
    <n v="0"/>
    <n v="0"/>
    <n v="0"/>
    <n v="0"/>
    <n v="0"/>
    <n v="27.37142857"/>
    <n v="0"/>
    <n v="0"/>
    <n v="21.53205307"/>
    <n v="0"/>
    <n v="0"/>
    <n v="0"/>
    <x v="0"/>
    <x v="0"/>
    <x v="1"/>
    <x v="2"/>
    <x v="1"/>
  </r>
  <r>
    <x v="43"/>
    <x v="1"/>
    <x v="1"/>
    <x v="1"/>
    <d v="2024-05-20T00:00:00"/>
    <n v="2"/>
    <n v="1070"/>
    <n v="8.26"/>
    <n v="5.32"/>
    <n v="355.9"/>
    <n v="74"/>
    <n v="16"/>
    <n v="5"/>
    <n v="502"/>
    <n v="0"/>
    <n v="0"/>
    <n v="0"/>
    <n v="0"/>
    <n v="0"/>
    <n v="22.24375"/>
    <n v="0"/>
    <n v="0"/>
    <n v="26.42376408"/>
    <n v="0"/>
    <n v="0"/>
    <n v="0"/>
    <x v="0"/>
    <x v="0"/>
    <x v="2"/>
    <x v="2"/>
    <x v="2"/>
  </r>
  <r>
    <x v="43"/>
    <x v="1"/>
    <x v="1"/>
    <x v="2"/>
    <d v="2024-09-10T00:00:00"/>
    <n v="3"/>
    <n v="1070"/>
    <n v="8.130000000000001"/>
    <n v="7.5"/>
    <n v="61.3"/>
    <n v="66"/>
    <n v="1"/>
    <n v="1"/>
    <n v="97"/>
    <n v="0"/>
    <n v="0"/>
    <n v="0"/>
    <n v="0"/>
    <n v="0"/>
    <n v="61.3"/>
    <n v="0"/>
    <n v="0"/>
    <n v="21.85607991"/>
    <n v="0"/>
    <n v="0"/>
    <n v="0"/>
    <x v="0"/>
    <x v="0"/>
    <x v="0"/>
    <x v="2"/>
    <x v="0"/>
  </r>
  <r>
    <x v="43"/>
    <x v="1"/>
    <x v="1"/>
    <x v="3"/>
    <d v="2025-02-18T00:00:00"/>
    <n v="4"/>
    <n v="1070"/>
    <n v="13.3"/>
    <n v="9.27"/>
    <n v="413.2"/>
    <n v="72.7"/>
    <n v="20"/>
    <n v="6"/>
    <n v="586"/>
    <n v="0"/>
    <n v="0"/>
    <n v="0"/>
    <n v="0"/>
    <n v="0"/>
    <n v="20.66"/>
    <n v="0"/>
    <n v="0"/>
    <n v="33.9379891"/>
    <n v="0"/>
    <n v="0"/>
    <n v="0"/>
    <x v="0"/>
    <x v="1"/>
    <x v="3"/>
    <x v="2"/>
    <x v="2"/>
  </r>
  <r>
    <x v="43"/>
    <x v="1"/>
    <x v="1"/>
    <x v="4"/>
    <d v="2025-07-01T00:00:00"/>
    <n v="5"/>
    <n v="1070"/>
    <n v="10.71"/>
    <n v="9.289999999999999"/>
    <n v="168.5"/>
    <n v="74.40000000000001"/>
    <n v="4"/>
    <n v="2"/>
    <n v="259"/>
    <n v="0"/>
    <n v="0"/>
    <n v="0"/>
    <n v="0"/>
    <n v="0"/>
    <n v="42.125"/>
    <n v="0"/>
    <n v="0"/>
    <n v="23.70388571"/>
    <n v="0"/>
    <n v="0"/>
    <n v="0"/>
    <x v="0"/>
    <x v="1"/>
    <x v="1"/>
    <x v="2"/>
    <x v="0"/>
  </r>
  <r>
    <x v="44"/>
    <x v="1"/>
    <x v="3"/>
    <x v="0"/>
    <d v="2024-01-15T00:00:00"/>
    <n v="1"/>
    <n v="1978"/>
    <n v="2.62"/>
    <n v="4.14"/>
    <n v="628.7"/>
    <n v="63"/>
    <n v="16"/>
    <n v="4"/>
    <n v="951"/>
    <n v="0"/>
    <n v="0"/>
    <n v="0"/>
    <n v="0"/>
    <n v="0"/>
    <n v="39.29375"/>
    <n v="0"/>
    <n v="0"/>
    <n v="32.93237835"/>
    <n v="0"/>
    <n v="0"/>
    <n v="0"/>
    <x v="0"/>
    <x v="0"/>
    <x v="3"/>
    <x v="2"/>
    <x v="1"/>
  </r>
  <r>
    <x v="44"/>
    <x v="1"/>
    <x v="3"/>
    <x v="1"/>
    <d v="2024-05-20T00:00:00"/>
    <n v="2"/>
    <n v="1978"/>
    <n v="7.08"/>
    <n v="9.49"/>
    <n v="383"/>
    <n v="69"/>
    <n v="11"/>
    <n v="4"/>
    <n v="553"/>
    <n v="0"/>
    <n v="0"/>
    <n v="0"/>
    <n v="0"/>
    <n v="0"/>
    <n v="34.81818182"/>
    <n v="0"/>
    <n v="0"/>
    <n v="28.19414804"/>
    <n v="0"/>
    <n v="0"/>
    <n v="0"/>
    <x v="0"/>
    <x v="0"/>
    <x v="2"/>
    <x v="2"/>
    <x v="1"/>
  </r>
  <r>
    <x v="44"/>
    <x v="1"/>
    <x v="3"/>
    <x v="2"/>
    <d v="2024-09-10T00:00:00"/>
    <n v="3"/>
    <n v="1978"/>
    <n v="4.37"/>
    <n v="7.15"/>
    <n v="68.7"/>
    <n v="69.40000000000001"/>
    <n v="2"/>
    <n v="2"/>
    <n v="107"/>
    <n v="0"/>
    <n v="0"/>
    <n v="0"/>
    <n v="0"/>
    <n v="0"/>
    <n v="34.35"/>
    <n v="0"/>
    <n v="0"/>
    <n v="16.51708582"/>
    <n v="0"/>
    <n v="0"/>
    <n v="0"/>
    <x v="0"/>
    <x v="0"/>
    <x v="0"/>
    <x v="2"/>
    <x v="0"/>
  </r>
  <r>
    <x v="44"/>
    <x v="1"/>
    <x v="3"/>
    <x v="3"/>
    <d v="2025-02-18T00:00:00"/>
    <n v="4"/>
    <n v="1978"/>
    <n v="6.84"/>
    <n v="7.55"/>
    <n v="310.7"/>
    <n v="66.3"/>
    <n v="14"/>
    <n v="3"/>
    <n v="545"/>
    <n v="0"/>
    <n v="0"/>
    <n v="0"/>
    <n v="0"/>
    <n v="0"/>
    <n v="22.19285714"/>
    <n v="0"/>
    <n v="0"/>
    <n v="27.18816415"/>
    <n v="0"/>
    <n v="0"/>
    <n v="0"/>
    <x v="0"/>
    <x v="0"/>
    <x v="2"/>
    <x v="2"/>
    <x v="1"/>
  </r>
  <r>
    <x v="44"/>
    <x v="1"/>
    <x v="3"/>
    <x v="4"/>
    <d v="2025-07-01T00:00:00"/>
    <n v="5"/>
    <n v="1978"/>
    <n v="5.76"/>
    <n v="9.56"/>
    <n v="149.5"/>
    <n v="68.40000000000001"/>
    <n v="5"/>
    <n v="2"/>
    <n v="267"/>
    <n v="0"/>
    <n v="0"/>
    <n v="0"/>
    <n v="0"/>
    <n v="0"/>
    <n v="29.9"/>
    <n v="0"/>
    <n v="0"/>
    <n v="20.66412489"/>
    <n v="0"/>
    <n v="0"/>
    <n v="0"/>
    <x v="0"/>
    <x v="0"/>
    <x v="0"/>
    <x v="2"/>
    <x v="0"/>
  </r>
  <r>
    <x v="33"/>
    <x v="1"/>
    <x v="1"/>
    <x v="0"/>
    <d v="2024-01-15T00:00:00"/>
    <n v="1"/>
    <n v="619"/>
    <n v="13.23"/>
    <n v="13.03"/>
    <n v="293.7"/>
    <n v="73.09999999999999"/>
    <n v="14"/>
    <n v="5"/>
    <n v="354"/>
    <n v="0"/>
    <n v="0"/>
    <n v="0"/>
    <n v="0"/>
    <n v="0"/>
    <n v="20.97857143"/>
    <n v="0"/>
    <n v="0"/>
    <n v="30.40470467"/>
    <n v="0"/>
    <n v="0"/>
    <n v="0"/>
    <x v="0"/>
    <x v="1"/>
    <x v="2"/>
    <x v="2"/>
    <x v="2"/>
  </r>
  <r>
    <x v="33"/>
    <x v="1"/>
    <x v="1"/>
    <x v="1"/>
    <d v="2024-05-20T00:00:00"/>
    <n v="2"/>
    <n v="619"/>
    <n v="16.33"/>
    <n v="9.130000000000001"/>
    <n v="147.55"/>
    <n v="78.90000000000001"/>
    <n v="4"/>
    <n v="2"/>
    <n v="146"/>
    <n v="0"/>
    <n v="0"/>
    <n v="0"/>
    <n v="0"/>
    <n v="0"/>
    <n v="36.8875"/>
    <n v="0"/>
    <n v="0"/>
    <n v="27.04350285"/>
    <n v="0"/>
    <n v="0"/>
    <n v="0"/>
    <x v="0"/>
    <x v="2"/>
    <x v="0"/>
    <x v="2"/>
    <x v="0"/>
  </r>
  <r>
    <x v="33"/>
    <x v="1"/>
    <x v="1"/>
    <x v="2"/>
    <d v="2024-09-10T00:00:00"/>
    <n v="3"/>
    <n v="619"/>
    <n v="12.22"/>
    <n v="10.79"/>
    <n v="40"/>
    <n v="76.2"/>
    <n v="1"/>
    <n v="1"/>
    <n v="66"/>
    <n v="0"/>
    <n v="0"/>
    <n v="0"/>
    <n v="0"/>
    <n v="0"/>
    <n v="40"/>
    <n v="0"/>
    <n v="0"/>
    <n v="20.96271736"/>
    <n v="0"/>
    <n v="0"/>
    <n v="0"/>
    <x v="0"/>
    <x v="1"/>
    <x v="0"/>
    <x v="2"/>
    <x v="0"/>
  </r>
  <r>
    <x v="33"/>
    <x v="1"/>
    <x v="1"/>
    <x v="3"/>
    <d v="2025-02-18T00:00:00"/>
    <n v="4"/>
    <n v="619"/>
    <n v="7.97"/>
    <n v="7.65"/>
    <n v="183.5"/>
    <n v="87.3"/>
    <n v="5"/>
    <n v="3"/>
    <n v="238"/>
    <n v="1"/>
    <n v="0"/>
    <n v="0"/>
    <n v="0"/>
    <n v="1"/>
    <n v="36.7"/>
    <n v="1.615508885"/>
    <n v="0"/>
    <n v="15.32411357"/>
    <n v="0"/>
    <n v="0"/>
    <n v="0"/>
    <x v="0"/>
    <x v="0"/>
    <x v="1"/>
    <x v="3"/>
    <x v="1"/>
  </r>
  <r>
    <x v="33"/>
    <x v="1"/>
    <x v="1"/>
    <x v="4"/>
    <d v="2025-07-01T00:00:00"/>
    <n v="5"/>
    <n v="619"/>
    <n v="12.67"/>
    <n v="10.06"/>
    <n v="111.6"/>
    <n v="77.55"/>
    <n v="2"/>
    <n v="2"/>
    <n v="195"/>
    <n v="1"/>
    <n v="0"/>
    <n v="0"/>
    <n v="0"/>
    <n v="1"/>
    <n v="55.8"/>
    <n v="1.615508885"/>
    <n v="0"/>
    <n v="22.78803293"/>
    <n v="1"/>
    <n v="0"/>
    <n v="0"/>
    <x v="0"/>
    <x v="1"/>
    <x v="0"/>
    <x v="2"/>
    <x v="0"/>
  </r>
  <r>
    <x v="45"/>
    <x v="1"/>
    <x v="3"/>
    <x v="0"/>
    <d v="2024-01-15T00:00:00"/>
    <n v="1"/>
    <n v="914"/>
    <n v="14.66"/>
    <n v="9.140000000000001"/>
    <n v="160.7"/>
    <n v="70.8"/>
    <n v="5"/>
    <n v="3"/>
    <n v="244"/>
    <n v="0"/>
    <n v="0"/>
    <n v="0"/>
    <n v="0"/>
    <n v="0"/>
    <n v="32.14"/>
    <n v="0"/>
    <n v="0"/>
    <n v="29.32480997"/>
    <n v="0"/>
    <n v="0"/>
    <n v="0"/>
    <x v="0"/>
    <x v="1"/>
    <x v="0"/>
    <x v="2"/>
    <x v="1"/>
  </r>
  <r>
    <x v="45"/>
    <x v="1"/>
    <x v="3"/>
    <x v="1"/>
    <d v="2024-05-20T00:00:00"/>
    <n v="2"/>
    <n v="914"/>
    <n v="8.42"/>
    <n v="7.6"/>
    <n v="56.7"/>
    <n v="84.59999999999999"/>
    <n v="2"/>
    <n v="2"/>
    <n v="94"/>
    <n v="0"/>
    <n v="0"/>
    <n v="0"/>
    <n v="0"/>
    <n v="0"/>
    <n v="28.35"/>
    <n v="0"/>
    <n v="0"/>
    <n v="13.55627578"/>
    <n v="0"/>
    <n v="0"/>
    <n v="0"/>
    <x v="0"/>
    <x v="0"/>
    <x v="0"/>
    <x v="3"/>
    <x v="0"/>
  </r>
  <r>
    <x v="45"/>
    <x v="1"/>
    <x v="3"/>
    <x v="2"/>
    <d v="2024-09-10T00:00:00"/>
    <n v="3"/>
    <n v="914"/>
    <n v="11.37"/>
    <n v="6.65"/>
    <n v="325.1"/>
    <n v="65.90000000000001"/>
    <n v="15"/>
    <n v="5"/>
    <n v="395"/>
    <n v="0"/>
    <n v="0"/>
    <n v="0"/>
    <n v="0"/>
    <n v="0"/>
    <n v="21.67333333"/>
    <n v="0"/>
    <n v="0"/>
    <n v="32.57431414"/>
    <n v="0"/>
    <n v="0"/>
    <n v="0"/>
    <x v="0"/>
    <x v="1"/>
    <x v="2"/>
    <x v="2"/>
    <x v="2"/>
  </r>
  <r>
    <x v="45"/>
    <x v="1"/>
    <x v="3"/>
    <x v="3"/>
    <d v="2025-02-18T00:00:00"/>
    <n v="4"/>
    <n v="914"/>
    <n v="10.64"/>
    <n v="6.04"/>
    <n v="220.2"/>
    <n v="73.2"/>
    <n v="11"/>
    <n v="4"/>
    <n v="347"/>
    <n v="0"/>
    <n v="0"/>
    <n v="0"/>
    <n v="0"/>
    <n v="0"/>
    <n v="20.01818182"/>
    <n v="0"/>
    <n v="0"/>
    <n v="25.594336"/>
    <n v="0"/>
    <n v="0"/>
    <n v="0"/>
    <x v="0"/>
    <x v="1"/>
    <x v="1"/>
    <x v="2"/>
    <x v="1"/>
  </r>
  <r>
    <x v="45"/>
    <x v="1"/>
    <x v="3"/>
    <x v="4"/>
    <d v="2025-07-01T00:00:00"/>
    <n v="5"/>
    <n v="914"/>
    <n v="12.1"/>
    <n v="9.550000000000001"/>
    <n v="260"/>
    <n v="73.7"/>
    <n v="11"/>
    <n v="3"/>
    <n v="331"/>
    <n v="0"/>
    <n v="0"/>
    <n v="0"/>
    <n v="0"/>
    <n v="0"/>
    <n v="23.63636364"/>
    <n v="0"/>
    <n v="0"/>
    <n v="28.00750966"/>
    <n v="0"/>
    <n v="0"/>
    <n v="0"/>
    <x v="0"/>
    <x v="1"/>
    <x v="1"/>
    <x v="2"/>
    <x v="1"/>
  </r>
  <r>
    <x v="34"/>
    <x v="1"/>
    <x v="3"/>
    <x v="0"/>
    <d v="2024-01-15T00:00:00"/>
    <n v="1"/>
    <n v="3386"/>
    <n v="25.19"/>
    <n v="14.93"/>
    <n v="42.4"/>
    <n v="71.90000000000001"/>
    <n v="2"/>
    <n v="1"/>
    <n v="71"/>
    <n v="0"/>
    <n v="0"/>
    <n v="0"/>
    <n v="0"/>
    <n v="0"/>
    <n v="21.2"/>
    <n v="0"/>
    <n v="0"/>
    <n v="36.75788488"/>
    <n v="0"/>
    <n v="0"/>
    <n v="0"/>
    <x v="0"/>
    <x v="3"/>
    <x v="0"/>
    <x v="2"/>
    <x v="0"/>
  </r>
  <r>
    <x v="34"/>
    <x v="1"/>
    <x v="3"/>
    <x v="1"/>
    <d v="2024-05-20T00:00:00"/>
    <n v="2"/>
    <n v="3386"/>
    <n v="13.41"/>
    <n v="8.44"/>
    <n v="345.6"/>
    <n v="76.3"/>
    <n v="16"/>
    <n v="3"/>
    <n v="592"/>
    <n v="0"/>
    <n v="0"/>
    <n v="0"/>
    <n v="0"/>
    <n v="0"/>
    <n v="21.6"/>
    <n v="0"/>
    <n v="0"/>
    <n v="30.5596476"/>
    <n v="0"/>
    <n v="0"/>
    <n v="0"/>
    <x v="0"/>
    <x v="1"/>
    <x v="2"/>
    <x v="2"/>
    <x v="1"/>
  </r>
  <r>
    <x v="34"/>
    <x v="1"/>
    <x v="3"/>
    <x v="2"/>
    <d v="2024-09-10T00:00:00"/>
    <n v="3"/>
    <n v="3386"/>
    <n v="19.59"/>
    <n v="14.22"/>
    <n v="285.2"/>
    <n v="76"/>
    <n v="15"/>
    <n v="3"/>
    <n v="342"/>
    <n v="1"/>
    <n v="0"/>
    <n v="0"/>
    <n v="0"/>
    <n v="1"/>
    <n v="19.01333333"/>
    <n v="0.2953337271"/>
    <n v="0"/>
    <n v="35.60084572"/>
    <n v="0"/>
    <n v="0"/>
    <n v="0"/>
    <x v="0"/>
    <x v="3"/>
    <x v="2"/>
    <x v="2"/>
    <x v="1"/>
  </r>
  <r>
    <x v="34"/>
    <x v="1"/>
    <x v="3"/>
    <x v="3"/>
    <d v="2025-02-18T00:00:00"/>
    <n v="4"/>
    <n v="3386"/>
    <n v="17.03"/>
    <n v="12.7"/>
    <n v="215.8"/>
    <n v="79.59999999999999"/>
    <n v="6"/>
    <n v="3"/>
    <n v="273"/>
    <n v="0"/>
    <n v="0"/>
    <n v="1"/>
    <n v="0"/>
    <n v="1"/>
    <n v="35.96666667"/>
    <n v="0.2953337271"/>
    <n v="1"/>
    <n v="29.33875503"/>
    <n v="1"/>
    <n v="0"/>
    <n v="0"/>
    <x v="0"/>
    <x v="2"/>
    <x v="1"/>
    <x v="2"/>
    <x v="1"/>
  </r>
  <r>
    <x v="34"/>
    <x v="1"/>
    <x v="3"/>
    <x v="4"/>
    <d v="2025-07-01T00:00:00"/>
    <n v="5"/>
    <n v="3386"/>
    <n v="20.46"/>
    <n v="12.64"/>
    <n v="296.5"/>
    <n v="76.15000000000001"/>
    <n v="15"/>
    <n v="3"/>
    <n v="352"/>
    <n v="0"/>
    <n v="0"/>
    <n v="0"/>
    <n v="0"/>
    <n v="0"/>
    <n v="19.76666667"/>
    <n v="0"/>
    <n v="0"/>
    <n v="36.76584836"/>
    <n v="1"/>
    <n v="0"/>
    <n v="0"/>
    <x v="0"/>
    <x v="3"/>
    <x v="2"/>
    <x v="2"/>
    <x v="1"/>
  </r>
  <r>
    <x v="3"/>
    <x v="1"/>
    <x v="3"/>
    <x v="0"/>
    <d v="2024-01-15T00:00:00"/>
    <n v="1"/>
    <n v="3134"/>
    <n v="21.34"/>
    <n v="14.04"/>
    <n v="1046.8"/>
    <n v="39.9"/>
    <n v="51"/>
    <n v="8"/>
    <n v="1276"/>
    <n v="3"/>
    <n v="4"/>
    <n v="1"/>
    <n v="0"/>
    <n v="8"/>
    <n v="20.5254902"/>
    <n v="2.552648373"/>
    <n v="1"/>
    <n v="74.80240838"/>
    <n v="0"/>
    <n v="1"/>
    <n v="1"/>
    <x v="0"/>
    <x v="3"/>
    <x v="3"/>
    <x v="0"/>
    <x v="3"/>
  </r>
  <r>
    <x v="3"/>
    <x v="1"/>
    <x v="3"/>
    <x v="1"/>
    <d v="2024-05-20T00:00:00"/>
    <n v="2"/>
    <n v="3134"/>
    <n v="26.79"/>
    <n v="21.88"/>
    <n v="612.5"/>
    <n v="24.9"/>
    <n v="25"/>
    <n v="5"/>
    <n v="897"/>
    <n v="3"/>
    <n v="1"/>
    <n v="0"/>
    <n v="0"/>
    <n v="4"/>
    <n v="24.5"/>
    <n v="1.276324186"/>
    <n v="0"/>
    <n v="75.51982493"/>
    <n v="8"/>
    <n v="1"/>
    <n v="1"/>
    <x v="0"/>
    <x v="3"/>
    <x v="3"/>
    <x v="0"/>
    <x v="2"/>
  </r>
  <r>
    <x v="3"/>
    <x v="1"/>
    <x v="3"/>
    <x v="2"/>
    <d v="2024-09-10T00:00:00"/>
    <n v="3"/>
    <n v="3134"/>
    <n v="17.7"/>
    <n v="8.609999999999999"/>
    <n v="329.8"/>
    <n v="39.4"/>
    <n v="9"/>
    <n v="4"/>
    <n v="387"/>
    <n v="0"/>
    <n v="2"/>
    <n v="0"/>
    <n v="0"/>
    <n v="2"/>
    <n v="36.64444444"/>
    <n v="0.6381620931999999"/>
    <n v="0"/>
    <n v="51.5068322"/>
    <n v="4"/>
    <n v="1"/>
    <n v="0"/>
    <x v="0"/>
    <x v="2"/>
    <x v="2"/>
    <x v="0"/>
    <x v="1"/>
  </r>
  <r>
    <x v="3"/>
    <x v="1"/>
    <x v="3"/>
    <x v="3"/>
    <d v="2025-02-18T00:00:00"/>
    <n v="4"/>
    <n v="3134"/>
    <n v="18.63"/>
    <n v="16.64"/>
    <n v="252.4"/>
    <n v="32.3"/>
    <n v="6"/>
    <n v="2"/>
    <n v="368"/>
    <n v="2"/>
    <n v="0"/>
    <n v="0"/>
    <n v="0"/>
    <n v="2"/>
    <n v="42.06666667"/>
    <n v="0.6381620931999999"/>
    <n v="0"/>
    <n v="53.60943334"/>
    <n v="2"/>
    <n v="1"/>
    <n v="0"/>
    <x v="0"/>
    <x v="2"/>
    <x v="1"/>
    <x v="0"/>
    <x v="0"/>
  </r>
  <r>
    <x v="3"/>
    <x v="1"/>
    <x v="3"/>
    <x v="4"/>
    <d v="2025-07-01T00:00:00"/>
    <n v="5"/>
    <n v="3134"/>
    <n v="19.44"/>
    <n v="10.3"/>
    <n v="167.9"/>
    <n v="47.2"/>
    <n v="4"/>
    <n v="3"/>
    <n v="245"/>
    <n v="1"/>
    <n v="0"/>
    <n v="0"/>
    <n v="0"/>
    <n v="1"/>
    <n v="41.975"/>
    <n v="0.3190810466"/>
    <n v="0"/>
    <n v="45.35805098"/>
    <n v="2"/>
    <n v="1"/>
    <n v="0"/>
    <x v="0"/>
    <x v="2"/>
    <x v="1"/>
    <x v="1"/>
    <x v="1"/>
  </r>
  <r>
    <x v="18"/>
    <x v="1"/>
    <x v="3"/>
    <x v="0"/>
    <d v="2024-01-15T00:00:00"/>
    <n v="1"/>
    <n v="1652"/>
    <n v="12.59"/>
    <n v="10.36"/>
    <n v="373.2"/>
    <n v="48.4"/>
    <n v="8"/>
    <n v="4"/>
    <n v="552"/>
    <n v="0"/>
    <n v="0"/>
    <n v="2"/>
    <n v="0"/>
    <n v="2"/>
    <n v="46.65"/>
    <n v="1.210653753"/>
    <n v="2"/>
    <n v="43.16822315"/>
    <n v="0"/>
    <n v="0"/>
    <n v="0"/>
    <x v="0"/>
    <x v="1"/>
    <x v="2"/>
    <x v="1"/>
    <x v="1"/>
  </r>
  <r>
    <x v="18"/>
    <x v="1"/>
    <x v="3"/>
    <x v="1"/>
    <d v="2024-05-20T00:00:00"/>
    <n v="2"/>
    <n v="1652"/>
    <n v="15.05"/>
    <n v="10.57"/>
    <n v="218"/>
    <n v="67.7"/>
    <n v="7"/>
    <n v="3"/>
    <n v="337"/>
    <n v="0"/>
    <n v="0"/>
    <n v="0"/>
    <n v="0"/>
    <n v="0"/>
    <n v="31.14285714"/>
    <n v="0"/>
    <n v="0"/>
    <n v="32.72352269"/>
    <n v="2"/>
    <n v="0"/>
    <n v="0"/>
    <x v="0"/>
    <x v="2"/>
    <x v="1"/>
    <x v="2"/>
    <x v="1"/>
  </r>
  <r>
    <x v="18"/>
    <x v="1"/>
    <x v="3"/>
    <x v="2"/>
    <d v="2024-09-10T00:00:00"/>
    <n v="3"/>
    <n v="1652"/>
    <n v="14.81"/>
    <n v="7.15"/>
    <n v="322.3"/>
    <n v="49.6"/>
    <n v="12"/>
    <n v="3"/>
    <n v="440"/>
    <n v="1"/>
    <n v="0"/>
    <n v="0"/>
    <n v="0"/>
    <n v="1"/>
    <n v="26.85833333"/>
    <n v="0.6053268765000001"/>
    <n v="0"/>
    <n v="43.58208602"/>
    <n v="0"/>
    <n v="0"/>
    <n v="0"/>
    <x v="0"/>
    <x v="1"/>
    <x v="2"/>
    <x v="1"/>
    <x v="1"/>
  </r>
  <r>
    <x v="18"/>
    <x v="1"/>
    <x v="3"/>
    <x v="3"/>
    <d v="2025-02-18T00:00:00"/>
    <n v="4"/>
    <n v="1652"/>
    <n v="19.83"/>
    <n v="14.09"/>
    <n v="701.7"/>
    <n v="61.5"/>
    <n v="19"/>
    <n v="5"/>
    <n v="1167"/>
    <n v="1"/>
    <n v="1"/>
    <n v="0"/>
    <n v="0"/>
    <n v="2"/>
    <n v="36.93157895"/>
    <n v="1.210653753"/>
    <n v="0"/>
    <n v="53.88760225"/>
    <n v="1"/>
    <n v="0"/>
    <n v="0"/>
    <x v="0"/>
    <x v="3"/>
    <x v="3"/>
    <x v="2"/>
    <x v="2"/>
  </r>
  <r>
    <x v="18"/>
    <x v="1"/>
    <x v="3"/>
    <x v="4"/>
    <d v="2025-07-01T00:00:00"/>
    <n v="5"/>
    <n v="1652"/>
    <n v="18.9"/>
    <n v="10.15"/>
    <n v="424.1"/>
    <n v="59.3"/>
    <n v="13"/>
    <n v="3"/>
    <n v="681"/>
    <n v="0"/>
    <n v="0"/>
    <n v="0"/>
    <n v="0"/>
    <n v="0"/>
    <n v="32.62307692"/>
    <n v="0"/>
    <n v="0"/>
    <n v="46.29200611"/>
    <n v="2"/>
    <n v="0"/>
    <n v="0"/>
    <x v="0"/>
    <x v="2"/>
    <x v="3"/>
    <x v="1"/>
    <x v="1"/>
  </r>
  <r>
    <x v="24"/>
    <x v="2"/>
    <x v="0"/>
    <x v="0"/>
    <d v="2024-01-15T00:00:00"/>
    <n v="1"/>
    <n v="1207"/>
    <n v="15.14"/>
    <n v="11.48"/>
    <n v="224.4"/>
    <n v="47.9"/>
    <n v="6"/>
    <n v="2"/>
    <n v="289"/>
    <n v="0"/>
    <n v="0"/>
    <n v="0"/>
    <n v="0"/>
    <n v="0"/>
    <n v="37.4"/>
    <n v="0"/>
    <n v="0"/>
    <n v="42.02327376"/>
    <n v="0"/>
    <n v="0"/>
    <n v="0"/>
    <x v="0"/>
    <x v="2"/>
    <x v="1"/>
    <x v="1"/>
    <x v="0"/>
  </r>
  <r>
    <x v="24"/>
    <x v="2"/>
    <x v="0"/>
    <x v="1"/>
    <d v="2024-05-20T00:00:00"/>
    <n v="2"/>
    <n v="1207"/>
    <n v="12.81"/>
    <n v="11.56"/>
    <n v="42.7"/>
    <n v="61.8"/>
    <n v="1"/>
    <n v="1"/>
    <n v="66"/>
    <n v="1"/>
    <n v="0"/>
    <n v="0"/>
    <n v="1"/>
    <n v="2"/>
    <n v="42.7"/>
    <n v="1.657000829"/>
    <n v="1"/>
    <n v="28.22942321"/>
    <n v="0"/>
    <n v="0"/>
    <n v="0"/>
    <x v="0"/>
    <x v="1"/>
    <x v="0"/>
    <x v="2"/>
    <x v="0"/>
  </r>
  <r>
    <x v="24"/>
    <x v="2"/>
    <x v="0"/>
    <x v="2"/>
    <d v="2024-09-10T00:00:00"/>
    <n v="3"/>
    <n v="1207"/>
    <n v="10.47"/>
    <n v="8.33"/>
    <n v="192"/>
    <n v="67.7"/>
    <n v="10"/>
    <n v="3"/>
    <n v="277"/>
    <n v="0"/>
    <n v="0"/>
    <n v="0"/>
    <n v="0"/>
    <n v="0"/>
    <n v="19.2"/>
    <n v="0"/>
    <n v="0"/>
    <n v="27.14863176"/>
    <n v="2"/>
    <n v="0"/>
    <n v="0"/>
    <x v="0"/>
    <x v="1"/>
    <x v="1"/>
    <x v="2"/>
    <x v="1"/>
  </r>
  <r>
    <x v="24"/>
    <x v="2"/>
    <x v="0"/>
    <x v="3"/>
    <d v="2025-02-18T00:00:00"/>
    <n v="4"/>
    <n v="1207"/>
    <n v="12.345"/>
    <n v="11.41"/>
    <n v="103.8"/>
    <n v="54.7"/>
    <n v="2"/>
    <n v="2"/>
    <n v="186"/>
    <n v="0"/>
    <n v="0"/>
    <n v="2"/>
    <n v="0"/>
    <n v="2"/>
    <n v="51.9"/>
    <n v="1.657000829"/>
    <n v="2"/>
    <n v="32.64867041"/>
    <n v="0"/>
    <n v="0"/>
    <n v="0"/>
    <x v="0"/>
    <x v="1"/>
    <x v="0"/>
    <x v="1"/>
    <x v="0"/>
  </r>
  <r>
    <x v="24"/>
    <x v="2"/>
    <x v="0"/>
    <x v="4"/>
    <d v="2025-07-01T00:00:00"/>
    <n v="5"/>
    <n v="1207"/>
    <n v="11.88"/>
    <n v="9.140000000000001"/>
    <n v="583"/>
    <n v="49.8"/>
    <n v="19"/>
    <n v="4"/>
    <n v="710"/>
    <n v="0"/>
    <n v="0"/>
    <n v="0"/>
    <n v="0"/>
    <n v="0"/>
    <n v="30.68421053"/>
    <n v="0"/>
    <n v="0"/>
    <n v="47.52862845"/>
    <n v="2"/>
    <n v="0"/>
    <n v="0"/>
    <x v="0"/>
    <x v="1"/>
    <x v="3"/>
    <x v="1"/>
    <x v="1"/>
  </r>
  <r>
    <x v="35"/>
    <x v="2"/>
    <x v="3"/>
    <x v="0"/>
    <d v="2024-01-15T00:00:00"/>
    <n v="1"/>
    <n v="1866"/>
    <n v="15.36"/>
    <n v="13.85"/>
    <n v="240.3"/>
    <n v="64.59999999999999"/>
    <n v="9"/>
    <n v="3"/>
    <n v="377"/>
    <n v="1"/>
    <n v="0"/>
    <n v="0"/>
    <n v="0"/>
    <n v="1"/>
    <n v="26.7"/>
    <n v="0.5359056806"/>
    <n v="0"/>
    <n v="35.07764314"/>
    <n v="0"/>
    <n v="0"/>
    <n v="0"/>
    <x v="0"/>
    <x v="2"/>
    <x v="1"/>
    <x v="2"/>
    <x v="1"/>
  </r>
  <r>
    <x v="35"/>
    <x v="2"/>
    <x v="3"/>
    <x v="1"/>
    <d v="2024-05-20T00:00:00"/>
    <n v="2"/>
    <n v="1866"/>
    <n v="17.93"/>
    <n v="11.505"/>
    <n v="267.2"/>
    <n v="64.59999999999999"/>
    <n v="11"/>
    <n v="4"/>
    <n v="318"/>
    <n v="0"/>
    <n v="0"/>
    <n v="0"/>
    <n v="0"/>
    <n v="0"/>
    <n v="24.29090909"/>
    <n v="0"/>
    <n v="0"/>
    <n v="38.54345325"/>
    <n v="1"/>
    <n v="0"/>
    <n v="0"/>
    <x v="0"/>
    <x v="2"/>
    <x v="1"/>
    <x v="2"/>
    <x v="1"/>
  </r>
  <r>
    <x v="35"/>
    <x v="2"/>
    <x v="3"/>
    <x v="2"/>
    <d v="2024-09-10T00:00:00"/>
    <n v="3"/>
    <n v="1866"/>
    <n v="16.51"/>
    <n v="6.91"/>
    <n v="227.7"/>
    <n v="79.3"/>
    <n v="5"/>
    <n v="2"/>
    <n v="282"/>
    <n v="0"/>
    <n v="0"/>
    <n v="0"/>
    <n v="0"/>
    <n v="0"/>
    <n v="45.54"/>
    <n v="0"/>
    <n v="0"/>
    <n v="29.24982359"/>
    <n v="0"/>
    <n v="0"/>
    <n v="0"/>
    <x v="0"/>
    <x v="2"/>
    <x v="1"/>
    <x v="2"/>
    <x v="0"/>
  </r>
  <r>
    <x v="35"/>
    <x v="2"/>
    <x v="3"/>
    <x v="3"/>
    <d v="2025-02-18T00:00:00"/>
    <n v="4"/>
    <n v="1866"/>
    <n v="18.24"/>
    <n v="12.44"/>
    <n v="322.7"/>
    <n v="61.9"/>
    <n v="12"/>
    <n v="4"/>
    <n v="388"/>
    <n v="0"/>
    <n v="0"/>
    <n v="0"/>
    <n v="0"/>
    <n v="0"/>
    <n v="26.89166667"/>
    <n v="0"/>
    <n v="0"/>
    <n v="41.62548747"/>
    <n v="0"/>
    <n v="0"/>
    <n v="0"/>
    <x v="0"/>
    <x v="2"/>
    <x v="2"/>
    <x v="2"/>
    <x v="1"/>
  </r>
  <r>
    <x v="35"/>
    <x v="2"/>
    <x v="3"/>
    <x v="4"/>
    <d v="2025-07-01T00:00:00"/>
    <n v="5"/>
    <n v="1866"/>
    <n v="14.7"/>
    <n v="10.57"/>
    <n v="164.8"/>
    <n v="64.59999999999999"/>
    <n v="5"/>
    <n v="3"/>
    <n v="267"/>
    <n v="0"/>
    <n v="0"/>
    <n v="0"/>
    <n v="1"/>
    <n v="1"/>
    <n v="32.96"/>
    <n v="0.5359056806"/>
    <n v="1"/>
    <n v="32.30686828"/>
    <n v="0"/>
    <n v="0"/>
    <n v="0"/>
    <x v="0"/>
    <x v="1"/>
    <x v="0"/>
    <x v="2"/>
    <x v="1"/>
  </r>
  <r>
    <x v="38"/>
    <x v="2"/>
    <x v="0"/>
    <x v="0"/>
    <d v="2024-01-15T00:00:00"/>
    <n v="1"/>
    <n v="2952"/>
    <n v="9.279999999999999"/>
    <n v="5.43"/>
    <n v="164.1"/>
    <n v="65.59999999999999"/>
    <n v="4"/>
    <n v="2"/>
    <n v="285"/>
    <n v="0"/>
    <n v="0"/>
    <n v="0"/>
    <n v="0"/>
    <n v="0"/>
    <n v="41.025"/>
    <n v="0"/>
    <n v="0"/>
    <n v="26.0779631"/>
    <n v="0"/>
    <n v="0"/>
    <n v="0"/>
    <x v="0"/>
    <x v="0"/>
    <x v="0"/>
    <x v="2"/>
    <x v="0"/>
  </r>
  <r>
    <x v="38"/>
    <x v="2"/>
    <x v="0"/>
    <x v="1"/>
    <d v="2024-05-20T00:00:00"/>
    <n v="2"/>
    <n v="2952"/>
    <n v="7.93"/>
    <n v="5.27"/>
    <n v="126.8"/>
    <n v="54"/>
    <n v="5"/>
    <n v="2"/>
    <n v="177"/>
    <n v="0"/>
    <n v="0"/>
    <n v="0"/>
    <n v="0"/>
    <n v="0"/>
    <n v="25.36"/>
    <n v="0"/>
    <n v="0"/>
    <n v="28.91166938"/>
    <n v="0"/>
    <n v="0"/>
    <n v="0"/>
    <x v="0"/>
    <x v="0"/>
    <x v="0"/>
    <x v="1"/>
    <x v="0"/>
  </r>
  <r>
    <x v="38"/>
    <x v="2"/>
    <x v="0"/>
    <x v="2"/>
    <d v="2024-09-10T00:00:00"/>
    <n v="3"/>
    <n v="2952"/>
    <n v="9.720000000000001"/>
    <n v="9.06"/>
    <n v="257.7"/>
    <n v="53.4"/>
    <n v="14"/>
    <n v="4"/>
    <n v="462"/>
    <n v="0"/>
    <n v="0"/>
    <n v="0"/>
    <n v="0"/>
    <n v="0"/>
    <n v="18.40714286"/>
    <n v="0"/>
    <n v="0"/>
    <n v="34.67463253"/>
    <n v="0"/>
    <n v="0"/>
    <n v="0"/>
    <x v="0"/>
    <x v="0"/>
    <x v="1"/>
    <x v="1"/>
    <x v="1"/>
  </r>
  <r>
    <x v="38"/>
    <x v="2"/>
    <x v="0"/>
    <x v="3"/>
    <d v="2025-02-18T00:00:00"/>
    <n v="4"/>
    <n v="2952"/>
    <n v="9.145"/>
    <n v="9.970000000000001"/>
    <n v="369.8"/>
    <n v="60.3"/>
    <n v="10"/>
    <n v="3"/>
    <n v="455"/>
    <n v="0"/>
    <n v="0"/>
    <n v="0"/>
    <n v="0"/>
    <n v="0"/>
    <n v="36.98"/>
    <n v="0"/>
    <n v="0"/>
    <n v="33.99152928"/>
    <n v="0"/>
    <n v="0"/>
    <n v="0"/>
    <x v="1"/>
    <x v="0"/>
    <x v="2"/>
    <x v="2"/>
    <x v="1"/>
  </r>
  <r>
    <x v="38"/>
    <x v="2"/>
    <x v="0"/>
    <x v="4"/>
    <d v="2025-07-01T00:00:00"/>
    <n v="5"/>
    <n v="2952"/>
    <n v="9.01"/>
    <n v="5.28"/>
    <n v="82"/>
    <n v="56.6"/>
    <n v="2"/>
    <n v="1"/>
    <n v="113"/>
    <n v="1"/>
    <n v="0"/>
    <n v="0"/>
    <n v="0"/>
    <n v="1"/>
    <n v="41"/>
    <n v="0.3387533875"/>
    <n v="0"/>
    <n v="27.64420245"/>
    <n v="0"/>
    <n v="0"/>
    <n v="0"/>
    <x v="0"/>
    <x v="0"/>
    <x v="0"/>
    <x v="1"/>
    <x v="0"/>
  </r>
  <r>
    <x v="7"/>
    <x v="2"/>
    <x v="0"/>
    <x v="0"/>
    <d v="2024-01-15T00:00:00"/>
    <n v="1"/>
    <n v="2891"/>
    <n v="13.67"/>
    <n v="13.88"/>
    <n v="686.9"/>
    <n v="59"/>
    <n v="17"/>
    <n v="4"/>
    <n v="779"/>
    <n v="0"/>
    <n v="1"/>
    <n v="0"/>
    <n v="0"/>
    <n v="1"/>
    <n v="40.40588235"/>
    <n v="0.3459010723"/>
    <n v="0"/>
    <n v="48.08251313"/>
    <n v="0"/>
    <n v="1"/>
    <n v="0"/>
    <x v="0"/>
    <x v="1"/>
    <x v="3"/>
    <x v="1"/>
    <x v="1"/>
  </r>
  <r>
    <x v="7"/>
    <x v="2"/>
    <x v="0"/>
    <x v="1"/>
    <d v="2024-05-20T00:00:00"/>
    <n v="2"/>
    <n v="2891"/>
    <n v="17.55"/>
    <n v="13.28"/>
    <n v="554.2"/>
    <n v="55.5"/>
    <n v="24"/>
    <n v="6"/>
    <n v="849"/>
    <n v="1"/>
    <n v="0"/>
    <n v="1"/>
    <n v="1"/>
    <n v="3"/>
    <n v="23.09166667"/>
    <n v="1.037703217"/>
    <n v="2"/>
    <n v="50.15888902"/>
    <n v="1"/>
    <n v="1"/>
    <n v="1"/>
    <x v="0"/>
    <x v="2"/>
    <x v="3"/>
    <x v="1"/>
    <x v="2"/>
  </r>
  <r>
    <x v="7"/>
    <x v="2"/>
    <x v="0"/>
    <x v="2"/>
    <d v="2024-09-10T00:00:00"/>
    <n v="3"/>
    <n v="2891"/>
    <n v="25.98"/>
    <n v="17.68"/>
    <n v="849.6"/>
    <n v="54.2"/>
    <n v="28"/>
    <n v="4"/>
    <n v="1125"/>
    <n v="2"/>
    <n v="3"/>
    <n v="0"/>
    <n v="0"/>
    <n v="5"/>
    <n v="30.34285714"/>
    <n v="1.729505361"/>
    <n v="0"/>
    <n v="67.80031484"/>
    <n v="3"/>
    <n v="1"/>
    <n v="1"/>
    <x v="0"/>
    <x v="3"/>
    <x v="3"/>
    <x v="1"/>
    <x v="1"/>
  </r>
  <r>
    <x v="7"/>
    <x v="2"/>
    <x v="0"/>
    <x v="3"/>
    <d v="2025-02-18T00:00:00"/>
    <n v="4"/>
    <n v="2891"/>
    <n v="18.47"/>
    <n v="10.46"/>
    <n v="242.7"/>
    <n v="57"/>
    <n v="8"/>
    <n v="3"/>
    <n v="435"/>
    <n v="0"/>
    <n v="0"/>
    <n v="1"/>
    <n v="0"/>
    <n v="1"/>
    <n v="30.3375"/>
    <n v="0.3459010723"/>
    <n v="1"/>
    <n v="41.91050733"/>
    <n v="5"/>
    <n v="1"/>
    <n v="0"/>
    <x v="0"/>
    <x v="2"/>
    <x v="1"/>
    <x v="1"/>
    <x v="1"/>
  </r>
  <r>
    <x v="7"/>
    <x v="2"/>
    <x v="0"/>
    <x v="4"/>
    <d v="2025-07-01T00:00:00"/>
    <n v="5"/>
    <n v="2891"/>
    <n v="17.29"/>
    <n v="12.5"/>
    <n v="150.5"/>
    <n v="54.7"/>
    <n v="7"/>
    <n v="4"/>
    <n v="214"/>
    <n v="2"/>
    <n v="0"/>
    <n v="0"/>
    <n v="0"/>
    <n v="2"/>
    <n v="21.5"/>
    <n v="0.6918021446"/>
    <n v="0"/>
    <n v="39.17860904"/>
    <n v="1"/>
    <n v="1"/>
    <n v="0"/>
    <x v="0"/>
    <x v="2"/>
    <x v="0"/>
    <x v="1"/>
    <x v="1"/>
  </r>
  <r>
    <x v="13"/>
    <x v="2"/>
    <x v="0"/>
    <x v="0"/>
    <d v="2024-01-15T00:00:00"/>
    <n v="1"/>
    <n v="1226"/>
    <n v="16.65"/>
    <n v="9.9"/>
    <n v="343.1"/>
    <n v="97.40000000000001"/>
    <n v="8"/>
    <n v="4"/>
    <n v="387"/>
    <n v="0"/>
    <n v="1"/>
    <n v="0"/>
    <n v="0"/>
    <n v="1"/>
    <n v="42.8875"/>
    <n v="0.8156606852"/>
    <n v="0"/>
    <n v="24.3090674"/>
    <n v="0"/>
    <n v="1"/>
    <n v="0"/>
    <x v="0"/>
    <x v="2"/>
    <x v="2"/>
    <x v="3"/>
    <x v="1"/>
  </r>
  <r>
    <x v="13"/>
    <x v="2"/>
    <x v="0"/>
    <x v="1"/>
    <d v="2024-05-20T00:00:00"/>
    <n v="2"/>
    <n v="1226"/>
    <n v="16.96"/>
    <n v="11.13"/>
    <n v="340.7"/>
    <n v="98"/>
    <n v="10"/>
    <n v="3"/>
    <n v="549"/>
    <n v="0"/>
    <n v="1"/>
    <n v="0"/>
    <n v="0"/>
    <n v="1"/>
    <n v="34.07"/>
    <n v="0.8156606852"/>
    <n v="0"/>
    <n v="24.29875093"/>
    <n v="1"/>
    <n v="1"/>
    <n v="0"/>
    <x v="0"/>
    <x v="2"/>
    <x v="2"/>
    <x v="3"/>
    <x v="1"/>
  </r>
  <r>
    <x v="13"/>
    <x v="2"/>
    <x v="0"/>
    <x v="2"/>
    <d v="2024-09-10T00:00:00"/>
    <n v="3"/>
    <n v="1226"/>
    <n v="16.53"/>
    <n v="10.68"/>
    <n v="457.8"/>
    <n v="98"/>
    <n v="20"/>
    <n v="4"/>
    <n v="812"/>
    <n v="0"/>
    <n v="0"/>
    <n v="0"/>
    <n v="0"/>
    <n v="0"/>
    <n v="22.89"/>
    <n v="0"/>
    <n v="0"/>
    <n v="27.05304555"/>
    <n v="1"/>
    <n v="1"/>
    <n v="0"/>
    <x v="0"/>
    <x v="2"/>
    <x v="3"/>
    <x v="3"/>
    <x v="1"/>
  </r>
  <r>
    <x v="13"/>
    <x v="2"/>
    <x v="0"/>
    <x v="3"/>
    <d v="2025-02-18T00:00:00"/>
    <n v="4"/>
    <n v="1226"/>
    <n v="21.03"/>
    <n v="15.38"/>
    <n v="338.3"/>
    <n v="98"/>
    <n v="9"/>
    <n v="3"/>
    <n v="500"/>
    <n v="2"/>
    <n v="0"/>
    <n v="1"/>
    <n v="0"/>
    <n v="3"/>
    <n v="37.58888889"/>
    <n v="2.446982055"/>
    <n v="1"/>
    <n v="28.5535397"/>
    <n v="0"/>
    <n v="1"/>
    <n v="1"/>
    <x v="0"/>
    <x v="3"/>
    <x v="2"/>
    <x v="3"/>
    <x v="1"/>
  </r>
  <r>
    <x v="13"/>
    <x v="2"/>
    <x v="0"/>
    <x v="4"/>
    <d v="2025-07-01T00:00:00"/>
    <n v="5"/>
    <n v="1226"/>
    <n v="16.34"/>
    <n v="11.02"/>
    <n v="57.1"/>
    <n v="98"/>
    <n v="2"/>
    <n v="2"/>
    <n v="80"/>
    <n v="1"/>
    <n v="0"/>
    <n v="0"/>
    <n v="0"/>
    <n v="1"/>
    <n v="28.55"/>
    <n v="0.8156606852"/>
    <n v="0"/>
    <n v="15.8645356"/>
    <n v="3"/>
    <n v="1"/>
    <n v="0"/>
    <x v="0"/>
    <x v="2"/>
    <x v="0"/>
    <x v="3"/>
    <x v="0"/>
  </r>
  <r>
    <x v="39"/>
    <x v="2"/>
    <x v="0"/>
    <x v="0"/>
    <d v="2024-01-15T00:00:00"/>
    <n v="1"/>
    <n v="3121"/>
    <n v="12.06"/>
    <n v="11.96"/>
    <n v="81"/>
    <n v="75.5"/>
    <n v="3"/>
    <n v="2"/>
    <n v="140"/>
    <n v="1"/>
    <n v="0"/>
    <n v="0"/>
    <n v="0"/>
    <n v="1"/>
    <n v="27"/>
    <n v="0.320410125"/>
    <n v="0"/>
    <n v="22.23624428"/>
    <n v="0"/>
    <n v="0"/>
    <n v="0"/>
    <x v="0"/>
    <x v="1"/>
    <x v="0"/>
    <x v="2"/>
    <x v="0"/>
  </r>
  <r>
    <x v="39"/>
    <x v="2"/>
    <x v="0"/>
    <x v="1"/>
    <d v="2024-05-20T00:00:00"/>
    <n v="2"/>
    <n v="3121"/>
    <n v="7.9"/>
    <n v="7.47"/>
    <n v="274.1"/>
    <n v="70.5"/>
    <n v="11"/>
    <n v="4"/>
    <n v="378"/>
    <n v="0"/>
    <n v="0"/>
    <n v="0"/>
    <n v="0"/>
    <n v="0"/>
    <n v="24.91818182"/>
    <n v="0"/>
    <n v="0"/>
    <n v="25.3947078"/>
    <n v="1"/>
    <n v="0"/>
    <n v="0"/>
    <x v="0"/>
    <x v="0"/>
    <x v="1"/>
    <x v="2"/>
    <x v="1"/>
  </r>
  <r>
    <x v="39"/>
    <x v="2"/>
    <x v="0"/>
    <x v="2"/>
    <d v="2024-09-10T00:00:00"/>
    <n v="3"/>
    <n v="3121"/>
    <n v="10.39"/>
    <n v="8.77"/>
    <n v="419.1"/>
    <n v="68.5"/>
    <n v="11"/>
    <n v="4"/>
    <n v="527"/>
    <n v="0"/>
    <n v="0"/>
    <n v="0"/>
    <n v="0"/>
    <n v="0"/>
    <n v="38.1"/>
    <n v="0"/>
    <n v="0"/>
    <n v="32.92577417"/>
    <n v="0"/>
    <n v="0"/>
    <n v="0"/>
    <x v="0"/>
    <x v="0"/>
    <x v="3"/>
    <x v="2"/>
    <x v="1"/>
  </r>
  <r>
    <x v="39"/>
    <x v="2"/>
    <x v="0"/>
    <x v="3"/>
    <d v="2025-02-18T00:00:00"/>
    <n v="4"/>
    <n v="3121"/>
    <n v="11.9"/>
    <n v="6.91"/>
    <n v="177.55"/>
    <n v="67.2"/>
    <n v="3"/>
    <n v="2"/>
    <n v="223"/>
    <n v="0"/>
    <n v="0"/>
    <n v="0"/>
    <n v="0"/>
    <n v="0"/>
    <n v="59.18333333"/>
    <n v="0"/>
    <n v="0"/>
    <n v="28.49847144"/>
    <n v="0"/>
    <n v="0"/>
    <n v="0"/>
    <x v="0"/>
    <x v="1"/>
    <x v="1"/>
    <x v="2"/>
    <x v="0"/>
  </r>
  <r>
    <x v="39"/>
    <x v="2"/>
    <x v="0"/>
    <x v="4"/>
    <d v="2025-07-01T00:00:00"/>
    <n v="5"/>
    <n v="3121"/>
    <n v="8.69"/>
    <n v="7.5"/>
    <n v="77.09999999999999"/>
    <n v="52.9"/>
    <n v="3"/>
    <n v="2"/>
    <n v="111"/>
    <n v="0"/>
    <n v="0"/>
    <n v="0"/>
    <n v="0"/>
    <n v="0"/>
    <n v="25.7"/>
    <n v="0"/>
    <n v="0"/>
    <n v="28.85733287"/>
    <n v="0"/>
    <n v="0"/>
    <n v="0"/>
    <x v="0"/>
    <x v="0"/>
    <x v="0"/>
    <x v="1"/>
    <x v="0"/>
  </r>
  <r>
    <x v="9"/>
    <x v="2"/>
    <x v="0"/>
    <x v="0"/>
    <d v="2024-01-15T00:00:00"/>
    <n v="1"/>
    <n v="989"/>
    <n v="17.77"/>
    <n v="10.98"/>
    <n v="555.9"/>
    <n v="63.5"/>
    <n v="18"/>
    <n v="4"/>
    <n v="920"/>
    <n v="2"/>
    <n v="1"/>
    <n v="1"/>
    <n v="0"/>
    <n v="4"/>
    <n v="30.88333333"/>
    <n v="4.044489383"/>
    <n v="1"/>
    <n v="46.79107623"/>
    <n v="0"/>
    <n v="1"/>
    <n v="1"/>
    <x v="0"/>
    <x v="2"/>
    <x v="3"/>
    <x v="2"/>
    <x v="1"/>
  </r>
  <r>
    <x v="9"/>
    <x v="2"/>
    <x v="0"/>
    <x v="1"/>
    <d v="2024-05-20T00:00:00"/>
    <n v="2"/>
    <n v="989"/>
    <n v="19.54"/>
    <n v="16.39"/>
    <n v="532.3"/>
    <n v="67.2"/>
    <n v="14"/>
    <n v="3"/>
    <n v="879"/>
    <n v="0"/>
    <n v="2"/>
    <n v="0"/>
    <n v="0"/>
    <n v="2"/>
    <n v="38.02142857"/>
    <n v="2.022244692"/>
    <n v="0"/>
    <n v="46.33578115"/>
    <n v="4"/>
    <n v="1"/>
    <n v="0"/>
    <x v="0"/>
    <x v="3"/>
    <x v="3"/>
    <x v="2"/>
    <x v="1"/>
  </r>
  <r>
    <x v="9"/>
    <x v="2"/>
    <x v="0"/>
    <x v="2"/>
    <d v="2024-09-10T00:00:00"/>
    <n v="3"/>
    <n v="989"/>
    <n v="21.2"/>
    <n v="13.08"/>
    <n v="66.3"/>
    <n v="68"/>
    <n v="1"/>
    <n v="1"/>
    <n v="83"/>
    <n v="0"/>
    <n v="0"/>
    <n v="1"/>
    <n v="0"/>
    <n v="1"/>
    <n v="66.3"/>
    <n v="1.011122346"/>
    <n v="1"/>
    <n v="34.95591704"/>
    <n v="2"/>
    <n v="1"/>
    <n v="0"/>
    <x v="0"/>
    <x v="3"/>
    <x v="0"/>
    <x v="2"/>
    <x v="0"/>
  </r>
  <r>
    <x v="9"/>
    <x v="2"/>
    <x v="0"/>
    <x v="3"/>
    <d v="2025-02-18T00:00:00"/>
    <n v="4"/>
    <n v="989"/>
    <n v="23.53"/>
    <n v="13.31"/>
    <n v="390.3"/>
    <n v="67.3"/>
    <n v="14"/>
    <n v="5"/>
    <n v="443"/>
    <n v="0"/>
    <n v="0"/>
    <n v="1"/>
    <n v="0"/>
    <n v="1"/>
    <n v="27.87857143"/>
    <n v="1.011122346"/>
    <n v="1"/>
    <n v="46.63234588"/>
    <n v="1"/>
    <n v="1"/>
    <n v="0"/>
    <x v="0"/>
    <x v="3"/>
    <x v="2"/>
    <x v="2"/>
    <x v="2"/>
  </r>
  <r>
    <x v="9"/>
    <x v="2"/>
    <x v="0"/>
    <x v="4"/>
    <d v="2025-07-01T00:00:00"/>
    <n v="5"/>
    <n v="989"/>
    <n v="15.7"/>
    <n v="10"/>
    <n v="95.90000000000001"/>
    <n v="63.1"/>
    <n v="4"/>
    <n v="2"/>
    <n v="107"/>
    <n v="1"/>
    <n v="1"/>
    <n v="0"/>
    <n v="0"/>
    <n v="2"/>
    <n v="23.975"/>
    <n v="2.022244692"/>
    <n v="0"/>
    <n v="32.16326172"/>
    <n v="1"/>
    <n v="1"/>
    <n v="0"/>
    <x v="0"/>
    <x v="2"/>
    <x v="0"/>
    <x v="2"/>
    <x v="0"/>
  </r>
  <r>
    <x v="14"/>
    <x v="3"/>
    <x v="0"/>
    <x v="0"/>
    <d v="2024-01-15T00:00:00"/>
    <n v="1"/>
    <n v="3929"/>
    <n v="12.52"/>
    <n v="10.87"/>
    <n v="204.6"/>
    <n v="57.7"/>
    <n v="6"/>
    <n v="2"/>
    <n v="298"/>
    <n v="0"/>
    <n v="2"/>
    <n v="1"/>
    <n v="0"/>
    <n v="3"/>
    <n v="34.1"/>
    <n v="0.7635530669"/>
    <n v="1"/>
    <n v="34.23029606"/>
    <n v="0"/>
    <n v="0"/>
    <n v="1"/>
    <x v="0"/>
    <x v="1"/>
    <x v="1"/>
    <x v="1"/>
    <x v="0"/>
  </r>
  <r>
    <x v="14"/>
    <x v="3"/>
    <x v="0"/>
    <x v="1"/>
    <d v="2024-05-20T00:00:00"/>
    <n v="2"/>
    <n v="3929"/>
    <n v="11.45"/>
    <n v="7.6"/>
    <n v="343.7"/>
    <n v="68.59999999999999"/>
    <n v="9"/>
    <n v="2"/>
    <n v="445"/>
    <n v="0"/>
    <n v="0"/>
    <n v="0"/>
    <n v="0"/>
    <n v="0"/>
    <n v="38.18888889"/>
    <n v="0"/>
    <n v="0"/>
    <n v="31.93804392"/>
    <n v="3"/>
    <n v="0"/>
    <n v="0"/>
    <x v="0"/>
    <x v="1"/>
    <x v="2"/>
    <x v="2"/>
    <x v="0"/>
  </r>
  <r>
    <x v="14"/>
    <x v="3"/>
    <x v="0"/>
    <x v="2"/>
    <d v="2024-09-10T00:00:00"/>
    <n v="3"/>
    <n v="3929"/>
    <n v="11.45"/>
    <n v="10.84"/>
    <n v="52.1"/>
    <n v="52.6"/>
    <n v="1"/>
    <n v="1"/>
    <n v="62"/>
    <n v="0"/>
    <n v="0"/>
    <n v="0"/>
    <n v="0"/>
    <n v="0"/>
    <n v="52.1"/>
    <n v="0"/>
    <n v="0"/>
    <n v="31.23859195"/>
    <n v="0"/>
    <n v="0"/>
    <n v="0"/>
    <x v="1"/>
    <x v="1"/>
    <x v="0"/>
    <x v="1"/>
    <x v="0"/>
  </r>
  <r>
    <x v="14"/>
    <x v="3"/>
    <x v="0"/>
    <x v="3"/>
    <d v="2025-02-18T00:00:00"/>
    <n v="4"/>
    <n v="3929"/>
    <n v="7.46"/>
    <n v="1.43"/>
    <n v="175.3"/>
    <n v="67.2"/>
    <n v="7"/>
    <n v="3"/>
    <n v="279"/>
    <n v="0"/>
    <n v="0"/>
    <n v="0"/>
    <n v="0"/>
    <n v="0"/>
    <n v="25.04285714"/>
    <n v="0"/>
    <n v="0"/>
    <n v="23.7234028"/>
    <n v="0"/>
    <n v="0"/>
    <n v="0"/>
    <x v="0"/>
    <x v="0"/>
    <x v="1"/>
    <x v="2"/>
    <x v="1"/>
  </r>
  <r>
    <x v="14"/>
    <x v="3"/>
    <x v="0"/>
    <x v="4"/>
    <d v="2025-07-01T00:00:00"/>
    <n v="5"/>
    <n v="3929"/>
    <n v="11.45"/>
    <n v="9.35"/>
    <n v="426.2"/>
    <n v="68.59999999999999"/>
    <n v="19"/>
    <n v="6"/>
    <n v="763"/>
    <n v="1"/>
    <n v="2"/>
    <n v="0"/>
    <n v="0"/>
    <n v="3"/>
    <n v="22.43157895"/>
    <n v="0.7635530669"/>
    <n v="0"/>
    <n v="34.20011515"/>
    <n v="0"/>
    <n v="0"/>
    <n v="1"/>
    <x v="0"/>
    <x v="1"/>
    <x v="3"/>
    <x v="2"/>
    <x v="2"/>
  </r>
  <r>
    <x v="4"/>
    <x v="3"/>
    <x v="1"/>
    <x v="0"/>
    <d v="2024-01-15T00:00:00"/>
    <n v="1"/>
    <n v="1821"/>
    <n v="17.42"/>
    <n v="11.19"/>
    <n v="1084.4"/>
    <n v="38.9"/>
    <n v="27"/>
    <n v="5"/>
    <n v="1738"/>
    <n v="6"/>
    <n v="3"/>
    <n v="0"/>
    <n v="0"/>
    <n v="9"/>
    <n v="40.16296296"/>
    <n v="4.942339374"/>
    <n v="0"/>
    <n v="72.12800202"/>
    <n v="0"/>
    <n v="1"/>
    <n v="1"/>
    <x v="0"/>
    <x v="2"/>
    <x v="3"/>
    <x v="0"/>
    <x v="2"/>
  </r>
  <r>
    <x v="4"/>
    <x v="3"/>
    <x v="1"/>
    <x v="1"/>
    <d v="2024-05-20T00:00:00"/>
    <n v="2"/>
    <n v="1821"/>
    <n v="20.19"/>
    <n v="13.64"/>
    <n v="472.5"/>
    <n v="43.5"/>
    <n v="18"/>
    <n v="6"/>
    <n v="600"/>
    <n v="1"/>
    <n v="1"/>
    <n v="0"/>
    <n v="0"/>
    <n v="2"/>
    <n v="26.25"/>
    <n v="1.098297639"/>
    <n v="0"/>
    <n v="56.19325702"/>
    <n v="9"/>
    <n v="1"/>
    <n v="0"/>
    <x v="0"/>
    <x v="3"/>
    <x v="3"/>
    <x v="1"/>
    <x v="2"/>
  </r>
  <r>
    <x v="4"/>
    <x v="3"/>
    <x v="1"/>
    <x v="2"/>
    <d v="2024-09-10T00:00:00"/>
    <n v="3"/>
    <n v="1821"/>
    <n v="20.06"/>
    <n v="13.77"/>
    <n v="157.8"/>
    <n v="37.5"/>
    <n v="6"/>
    <n v="2"/>
    <n v="226"/>
    <n v="1"/>
    <n v="1"/>
    <n v="1"/>
    <n v="0"/>
    <n v="3"/>
    <n v="26.3"/>
    <n v="1.647446458"/>
    <n v="1"/>
    <n v="50.16245734"/>
    <n v="2"/>
    <n v="1"/>
    <n v="1"/>
    <x v="0"/>
    <x v="3"/>
    <x v="0"/>
    <x v="0"/>
    <x v="0"/>
  </r>
  <r>
    <x v="4"/>
    <x v="3"/>
    <x v="1"/>
    <x v="3"/>
    <d v="2025-02-18T00:00:00"/>
    <n v="4"/>
    <n v="1821"/>
    <n v="20.06"/>
    <n v="12.59"/>
    <n v="435.9"/>
    <n v="38.2"/>
    <n v="10"/>
    <n v="4"/>
    <n v="770"/>
    <n v="0"/>
    <n v="0"/>
    <n v="0"/>
    <n v="0"/>
    <n v="0"/>
    <n v="43.59"/>
    <n v="0"/>
    <n v="0"/>
    <n v="57.46849638"/>
    <n v="3"/>
    <n v="1"/>
    <n v="0"/>
    <x v="0"/>
    <x v="3"/>
    <x v="3"/>
    <x v="0"/>
    <x v="1"/>
  </r>
  <r>
    <x v="4"/>
    <x v="3"/>
    <x v="1"/>
    <x v="4"/>
    <d v="2025-07-01T00:00:00"/>
    <n v="5"/>
    <n v="1821"/>
    <n v="20.06"/>
    <n v="15.93"/>
    <n v="454.2"/>
    <n v="30.7"/>
    <n v="10"/>
    <n v="3"/>
    <n v="417"/>
    <n v="0"/>
    <n v="1"/>
    <n v="0"/>
    <n v="0"/>
    <n v="1"/>
    <n v="45.42"/>
    <n v="0.5491488193"/>
    <n v="0"/>
    <n v="61.39023755"/>
    <n v="0"/>
    <n v="1"/>
    <n v="0"/>
    <x v="0"/>
    <x v="3"/>
    <x v="3"/>
    <x v="0"/>
    <x v="1"/>
  </r>
  <r>
    <x v="10"/>
    <x v="3"/>
    <x v="1"/>
    <x v="0"/>
    <d v="2024-01-15T00:00:00"/>
    <n v="1"/>
    <n v="1124"/>
    <n v="25.73"/>
    <n v="12.8"/>
    <n v="212.6"/>
    <n v="56.5"/>
    <n v="10"/>
    <n v="3"/>
    <n v="340"/>
    <n v="1"/>
    <n v="1"/>
    <n v="0"/>
    <n v="0"/>
    <n v="2"/>
    <n v="21.26"/>
    <n v="1.779359431"/>
    <n v="0"/>
    <n v="49.02019861"/>
    <n v="0"/>
    <n v="1"/>
    <n v="0"/>
    <x v="1"/>
    <x v="3"/>
    <x v="1"/>
    <x v="1"/>
    <x v="1"/>
  </r>
  <r>
    <x v="10"/>
    <x v="3"/>
    <x v="1"/>
    <x v="1"/>
    <d v="2024-05-20T00:00:00"/>
    <n v="2"/>
    <n v="1124"/>
    <n v="25.73"/>
    <n v="15.3"/>
    <n v="384.5"/>
    <n v="55.5"/>
    <n v="12"/>
    <n v="3"/>
    <n v="669"/>
    <n v="0"/>
    <n v="1"/>
    <n v="0"/>
    <n v="0"/>
    <n v="1"/>
    <n v="32.04166667"/>
    <n v="0.8896797153"/>
    <n v="0"/>
    <n v="54.18952884"/>
    <n v="2"/>
    <n v="1"/>
    <n v="0"/>
    <x v="0"/>
    <x v="3"/>
    <x v="2"/>
    <x v="1"/>
    <x v="1"/>
  </r>
  <r>
    <x v="10"/>
    <x v="3"/>
    <x v="1"/>
    <x v="2"/>
    <d v="2024-09-10T00:00:00"/>
    <n v="3"/>
    <n v="1124"/>
    <n v="31.75"/>
    <n v="16.08"/>
    <n v="378.1"/>
    <n v="57.9"/>
    <n v="11"/>
    <n v="3"/>
    <n v="527"/>
    <n v="0"/>
    <n v="0"/>
    <n v="3"/>
    <n v="0"/>
    <n v="3"/>
    <n v="34.37272727"/>
    <n v="2.669039146"/>
    <n v="3"/>
    <n v="59.31031388"/>
    <n v="1"/>
    <n v="1"/>
    <n v="1"/>
    <x v="0"/>
    <x v="3"/>
    <x v="2"/>
    <x v="1"/>
    <x v="1"/>
  </r>
  <r>
    <x v="10"/>
    <x v="3"/>
    <x v="1"/>
    <x v="3"/>
    <d v="2025-02-18T00:00:00"/>
    <n v="4"/>
    <n v="1124"/>
    <n v="25.73"/>
    <n v="12.51"/>
    <n v="66.3"/>
    <n v="60"/>
    <n v="1"/>
    <n v="1"/>
    <n v="103"/>
    <n v="0"/>
    <n v="0"/>
    <n v="0"/>
    <n v="0"/>
    <n v="0"/>
    <n v="66.3"/>
    <n v="0"/>
    <n v="0"/>
    <n v="43.41280506"/>
    <n v="3"/>
    <n v="1"/>
    <n v="0"/>
    <x v="1"/>
    <x v="3"/>
    <x v="0"/>
    <x v="1"/>
    <x v="0"/>
  </r>
  <r>
    <x v="10"/>
    <x v="3"/>
    <x v="1"/>
    <x v="4"/>
    <d v="2025-07-01T00:00:00"/>
    <n v="5"/>
    <n v="1124"/>
    <n v="22.8"/>
    <n v="15.93"/>
    <n v="326.7"/>
    <n v="65.40000000000001"/>
    <n v="10"/>
    <n v="4"/>
    <n v="538"/>
    <n v="1"/>
    <n v="0"/>
    <n v="0"/>
    <n v="0"/>
    <n v="1"/>
    <n v="32.67"/>
    <n v="0.8896797153"/>
    <n v="0"/>
    <n v="44.97994075"/>
    <n v="0"/>
    <n v="1"/>
    <n v="0"/>
    <x v="0"/>
    <x v="3"/>
    <x v="2"/>
    <x v="2"/>
    <x v="1"/>
  </r>
  <r>
    <x v="8"/>
    <x v="3"/>
    <x v="0"/>
    <x v="0"/>
    <d v="2024-01-15T00:00:00"/>
    <n v="1"/>
    <n v="2645"/>
    <n v="25.38"/>
    <n v="15.69"/>
    <n v="308.3"/>
    <n v="60.5"/>
    <n v="14"/>
    <n v="5"/>
    <n v="348"/>
    <n v="0"/>
    <n v="0"/>
    <n v="0"/>
    <n v="0"/>
    <n v="0"/>
    <n v="22.02142857"/>
    <n v="0"/>
    <n v="0"/>
    <n v="49.44866594"/>
    <n v="0"/>
    <n v="1"/>
    <n v="0"/>
    <x v="0"/>
    <x v="3"/>
    <x v="2"/>
    <x v="2"/>
    <x v="2"/>
  </r>
  <r>
    <x v="8"/>
    <x v="3"/>
    <x v="0"/>
    <x v="1"/>
    <d v="2024-05-20T00:00:00"/>
    <n v="2"/>
    <n v="2645"/>
    <n v="22.93"/>
    <n v="13.24"/>
    <n v="520"/>
    <n v="58"/>
    <n v="22"/>
    <n v="6"/>
    <n v="804"/>
    <n v="1"/>
    <n v="0"/>
    <n v="2"/>
    <n v="0"/>
    <n v="3"/>
    <n v="23.63636364"/>
    <n v="1.134215501"/>
    <n v="2"/>
    <n v="53.79241945"/>
    <n v="0"/>
    <n v="1"/>
    <n v="1"/>
    <x v="0"/>
    <x v="3"/>
    <x v="3"/>
    <x v="1"/>
    <x v="2"/>
  </r>
  <r>
    <x v="8"/>
    <x v="3"/>
    <x v="0"/>
    <x v="2"/>
    <d v="2024-09-10T00:00:00"/>
    <n v="3"/>
    <n v="2645"/>
    <n v="22.93"/>
    <n v="13.51"/>
    <n v="395.5"/>
    <n v="66"/>
    <n v="11"/>
    <n v="4"/>
    <n v="574"/>
    <n v="2"/>
    <n v="0"/>
    <n v="1"/>
    <n v="0"/>
    <n v="3"/>
    <n v="35.95454545"/>
    <n v="1.134215501"/>
    <n v="1"/>
    <n v="46.7307775"/>
    <n v="3"/>
    <n v="1"/>
    <n v="1"/>
    <x v="0"/>
    <x v="3"/>
    <x v="2"/>
    <x v="2"/>
    <x v="1"/>
  </r>
  <r>
    <x v="8"/>
    <x v="3"/>
    <x v="0"/>
    <x v="3"/>
    <d v="2025-02-18T00:00:00"/>
    <n v="4"/>
    <n v="2645"/>
    <n v="22.93"/>
    <n v="12.12"/>
    <n v="323.6"/>
    <n v="58.1"/>
    <n v="12"/>
    <n v="3"/>
    <n v="361"/>
    <n v="0"/>
    <n v="1"/>
    <n v="1"/>
    <n v="0"/>
    <n v="2"/>
    <n v="26.96666667"/>
    <n v="0.7561436673"/>
    <n v="1"/>
    <n v="48.36171932"/>
    <n v="3"/>
    <n v="1"/>
    <n v="0"/>
    <x v="1"/>
    <x v="3"/>
    <x v="2"/>
    <x v="1"/>
    <x v="1"/>
  </r>
  <r>
    <x v="8"/>
    <x v="3"/>
    <x v="0"/>
    <x v="4"/>
    <d v="2025-07-01T00:00:00"/>
    <n v="5"/>
    <n v="2645"/>
    <n v="16.67"/>
    <n v="11.37"/>
    <n v="309.1"/>
    <n v="63.8"/>
    <n v="7"/>
    <n v="3"/>
    <n v="443"/>
    <n v="2"/>
    <n v="1"/>
    <n v="1"/>
    <n v="0"/>
    <n v="4"/>
    <n v="44.15714286"/>
    <n v="1.512287335"/>
    <n v="1"/>
    <n v="38.71952871"/>
    <n v="2"/>
    <n v="1"/>
    <n v="1"/>
    <x v="0"/>
    <x v="2"/>
    <x v="2"/>
    <x v="2"/>
    <x v="1"/>
  </r>
  <r>
    <x v="28"/>
    <x v="3"/>
    <x v="1"/>
    <x v="0"/>
    <d v="2024-01-15T00:00:00"/>
    <n v="1"/>
    <n v="2493"/>
    <n v="14.63"/>
    <n v="8.23"/>
    <n v="138.4"/>
    <n v="86.2"/>
    <n v="3"/>
    <n v="2"/>
    <n v="223"/>
    <n v="0"/>
    <n v="0"/>
    <n v="1"/>
    <n v="0"/>
    <n v="1"/>
    <n v="46.13333333"/>
    <n v="0.4011231448"/>
    <n v="1"/>
    <n v="21.65917431"/>
    <n v="0"/>
    <n v="0"/>
    <n v="0"/>
    <x v="0"/>
    <x v="1"/>
    <x v="0"/>
    <x v="3"/>
    <x v="0"/>
  </r>
  <r>
    <x v="28"/>
    <x v="3"/>
    <x v="1"/>
    <x v="1"/>
    <d v="2024-05-20T00:00:00"/>
    <n v="2"/>
    <n v="2493"/>
    <n v="3.68"/>
    <n v="3.1"/>
    <n v="192.1"/>
    <n v="78.65000000000001"/>
    <n v="6"/>
    <n v="3"/>
    <n v="266"/>
    <n v="0"/>
    <n v="0"/>
    <n v="0"/>
    <n v="1"/>
    <n v="1"/>
    <n v="32.01666667"/>
    <n v="0.4011231448"/>
    <n v="1"/>
    <n v="14.95014567"/>
    <n v="1"/>
    <n v="0"/>
    <n v="0"/>
    <x v="0"/>
    <x v="0"/>
    <x v="1"/>
    <x v="2"/>
    <x v="1"/>
  </r>
  <r>
    <x v="28"/>
    <x v="3"/>
    <x v="1"/>
    <x v="2"/>
    <d v="2024-09-10T00:00:00"/>
    <n v="3"/>
    <n v="2493"/>
    <n v="6.76"/>
    <n v="5.77"/>
    <n v="367.8"/>
    <n v="79.3"/>
    <n v="14"/>
    <n v="3"/>
    <n v="432"/>
    <n v="1"/>
    <n v="0"/>
    <n v="0"/>
    <n v="0"/>
    <n v="1"/>
    <n v="26.27142857"/>
    <n v="0.4011231448"/>
    <n v="0"/>
    <n v="22.74091336"/>
    <n v="1"/>
    <n v="0"/>
    <n v="0"/>
    <x v="0"/>
    <x v="0"/>
    <x v="2"/>
    <x v="2"/>
    <x v="1"/>
  </r>
  <r>
    <x v="28"/>
    <x v="3"/>
    <x v="1"/>
    <x v="3"/>
    <d v="2025-02-18T00:00:00"/>
    <n v="4"/>
    <n v="2493"/>
    <n v="9.98"/>
    <n v="6.88"/>
    <n v="92.90000000000001"/>
    <n v="78"/>
    <n v="4"/>
    <n v="2"/>
    <n v="157"/>
    <n v="0"/>
    <n v="0"/>
    <n v="0"/>
    <n v="0"/>
    <n v="0"/>
    <n v="23.225"/>
    <n v="0"/>
    <n v="0"/>
    <n v="19.2144721"/>
    <n v="1"/>
    <n v="0"/>
    <n v="0"/>
    <x v="0"/>
    <x v="0"/>
    <x v="0"/>
    <x v="2"/>
    <x v="0"/>
  </r>
  <r>
    <x v="28"/>
    <x v="3"/>
    <x v="1"/>
    <x v="4"/>
    <d v="2025-07-01T00:00:00"/>
    <n v="5"/>
    <n v="2493"/>
    <n v="9.449999999999999"/>
    <n v="7.01"/>
    <n v="352.4"/>
    <n v="74.09999999999999"/>
    <n v="10"/>
    <n v="3"/>
    <n v="598"/>
    <n v="0"/>
    <n v="0"/>
    <n v="0"/>
    <n v="0"/>
    <n v="0"/>
    <n v="35.24"/>
    <n v="0"/>
    <n v="0"/>
    <n v="27.54546742"/>
    <n v="0"/>
    <n v="0"/>
    <n v="0"/>
    <x v="0"/>
    <x v="0"/>
    <x v="2"/>
    <x v="2"/>
    <x v="1"/>
  </r>
  <r>
    <x v="25"/>
    <x v="3"/>
    <x v="0"/>
    <x v="0"/>
    <d v="2024-01-15T00:00:00"/>
    <n v="1"/>
    <n v="4161"/>
    <n v="14.19"/>
    <n v="9.98"/>
    <n v="111.8"/>
    <n v="66.5"/>
    <n v="3"/>
    <n v="2"/>
    <n v="174"/>
    <n v="0"/>
    <n v="1"/>
    <n v="0"/>
    <n v="0"/>
    <n v="1"/>
    <n v="37.26666667"/>
    <n v="0.2403268445"/>
    <n v="0"/>
    <n v="29.44586454"/>
    <n v="0"/>
    <n v="0"/>
    <n v="0"/>
    <x v="0"/>
    <x v="1"/>
    <x v="0"/>
    <x v="2"/>
    <x v="0"/>
  </r>
  <r>
    <x v="25"/>
    <x v="3"/>
    <x v="0"/>
    <x v="1"/>
    <d v="2024-05-20T00:00:00"/>
    <n v="2"/>
    <n v="4161"/>
    <n v="17.04"/>
    <n v="13.79"/>
    <n v="486.6"/>
    <n v="65.90000000000001"/>
    <n v="16"/>
    <n v="4"/>
    <n v="765"/>
    <n v="0"/>
    <n v="2"/>
    <n v="0"/>
    <n v="0"/>
    <n v="2"/>
    <n v="30.4125"/>
    <n v="0.480653689"/>
    <n v="0"/>
    <n v="43.02159823"/>
    <n v="1"/>
    <n v="0"/>
    <n v="0"/>
    <x v="0"/>
    <x v="2"/>
    <x v="3"/>
    <x v="2"/>
    <x v="1"/>
  </r>
  <r>
    <x v="25"/>
    <x v="3"/>
    <x v="0"/>
    <x v="2"/>
    <d v="2024-09-10T00:00:00"/>
    <n v="3"/>
    <n v="4161"/>
    <n v="10.32"/>
    <n v="8.01"/>
    <n v="188.65"/>
    <n v="67.5"/>
    <n v="10"/>
    <n v="3"/>
    <n v="350"/>
    <n v="0"/>
    <n v="0"/>
    <n v="0"/>
    <n v="1"/>
    <n v="1"/>
    <n v="18.865"/>
    <n v="0.2403268445"/>
    <n v="1"/>
    <n v="26.98874156"/>
    <n v="2"/>
    <n v="0"/>
    <n v="0"/>
    <x v="0"/>
    <x v="0"/>
    <x v="1"/>
    <x v="2"/>
    <x v="1"/>
  </r>
  <r>
    <x v="25"/>
    <x v="3"/>
    <x v="0"/>
    <x v="3"/>
    <d v="2025-02-18T00:00:00"/>
    <n v="4"/>
    <n v="4161"/>
    <n v="14.79"/>
    <n v="11.2"/>
    <n v="106.2"/>
    <n v="79.59999999999999"/>
    <n v="2"/>
    <n v="2"/>
    <n v="132"/>
    <n v="0"/>
    <n v="0"/>
    <n v="0"/>
    <n v="0"/>
    <n v="0"/>
    <n v="53.1"/>
    <n v="0"/>
    <n v="0"/>
    <n v="23.95570835"/>
    <n v="1"/>
    <n v="0"/>
    <n v="0"/>
    <x v="0"/>
    <x v="1"/>
    <x v="0"/>
    <x v="2"/>
    <x v="0"/>
  </r>
  <r>
    <x v="25"/>
    <x v="3"/>
    <x v="0"/>
    <x v="4"/>
    <d v="2025-07-01T00:00:00"/>
    <n v="5"/>
    <n v="4161"/>
    <n v="8.470000000000001"/>
    <n v="7.87"/>
    <n v="265.5"/>
    <n v="78.3"/>
    <n v="7"/>
    <n v="3"/>
    <n v="397"/>
    <n v="0"/>
    <n v="0"/>
    <n v="0"/>
    <n v="0"/>
    <n v="0"/>
    <n v="37.92857143"/>
    <n v="0"/>
    <n v="0"/>
    <n v="22.20722801"/>
    <n v="0"/>
    <n v="0"/>
    <n v="0"/>
    <x v="0"/>
    <x v="0"/>
    <x v="1"/>
    <x v="2"/>
    <x v="1"/>
  </r>
  <r>
    <x v="29"/>
    <x v="3"/>
    <x v="0"/>
    <x v="0"/>
    <d v="2024-01-15T00:00:00"/>
    <n v="1"/>
    <n v="1788"/>
    <n v="17.72"/>
    <n v="11.37"/>
    <n v="66"/>
    <n v="75.90000000000001"/>
    <n v="2"/>
    <n v="2"/>
    <n v="111"/>
    <n v="0"/>
    <n v="0"/>
    <n v="0"/>
    <n v="0"/>
    <n v="0"/>
    <n v="33"/>
    <n v="0"/>
    <n v="0"/>
    <n v="27.65105263"/>
    <n v="0"/>
    <n v="0"/>
    <n v="0"/>
    <x v="0"/>
    <x v="2"/>
    <x v="0"/>
    <x v="2"/>
    <x v="0"/>
  </r>
  <r>
    <x v="29"/>
    <x v="3"/>
    <x v="0"/>
    <x v="1"/>
    <d v="2024-05-20T00:00:00"/>
    <n v="2"/>
    <n v="1788"/>
    <n v="18.18"/>
    <n v="15.78"/>
    <n v="362.3"/>
    <n v="64.5"/>
    <n v="15"/>
    <n v="5"/>
    <n v="513"/>
    <n v="0"/>
    <n v="1"/>
    <n v="1"/>
    <n v="0"/>
    <n v="2"/>
    <n v="24.15333333"/>
    <n v="1.118568233"/>
    <n v="1"/>
    <n v="41.46199688"/>
    <n v="0"/>
    <n v="0"/>
    <n v="0"/>
    <x v="0"/>
    <x v="2"/>
    <x v="2"/>
    <x v="2"/>
    <x v="2"/>
  </r>
  <r>
    <x v="29"/>
    <x v="3"/>
    <x v="0"/>
    <x v="2"/>
    <d v="2024-09-10T00:00:00"/>
    <n v="3"/>
    <n v="1788"/>
    <n v="12.63"/>
    <n v="11.39"/>
    <n v="390.1"/>
    <n v="77.40000000000001"/>
    <n v="14"/>
    <n v="3"/>
    <n v="450"/>
    <n v="0"/>
    <n v="0"/>
    <n v="0"/>
    <n v="0"/>
    <n v="0"/>
    <n v="27.86428571"/>
    <n v="0"/>
    <n v="0"/>
    <n v="30.45017365"/>
    <n v="2"/>
    <n v="0"/>
    <n v="0"/>
    <x v="0"/>
    <x v="1"/>
    <x v="2"/>
    <x v="2"/>
    <x v="1"/>
  </r>
  <r>
    <x v="29"/>
    <x v="3"/>
    <x v="0"/>
    <x v="3"/>
    <d v="2025-02-18T00:00:00"/>
    <n v="4"/>
    <n v="1788"/>
    <n v="10.04"/>
    <n v="8.69"/>
    <n v="236.5"/>
    <n v="80"/>
    <n v="5"/>
    <n v="2"/>
    <n v="299"/>
    <n v="0"/>
    <n v="0"/>
    <n v="0"/>
    <n v="0"/>
    <n v="0"/>
    <n v="47.3"/>
    <n v="0"/>
    <n v="0"/>
    <n v="22.30354856"/>
    <n v="0"/>
    <n v="0"/>
    <n v="0"/>
    <x v="0"/>
    <x v="0"/>
    <x v="1"/>
    <x v="2"/>
    <x v="0"/>
  </r>
  <r>
    <x v="29"/>
    <x v="3"/>
    <x v="0"/>
    <x v="4"/>
    <d v="2025-07-01T00:00:00"/>
    <n v="5"/>
    <n v="1788"/>
    <n v="15.43"/>
    <n v="11.35"/>
    <n v="110.7"/>
    <n v="70.3"/>
    <n v="2"/>
    <n v="1"/>
    <n v="123"/>
    <n v="1"/>
    <n v="0"/>
    <n v="0"/>
    <n v="0"/>
    <n v="1"/>
    <n v="55.35"/>
    <n v="0.5592841163"/>
    <n v="0"/>
    <n v="28.99926565"/>
    <n v="0"/>
    <n v="0"/>
    <n v="0"/>
    <x v="0"/>
    <x v="2"/>
    <x v="0"/>
    <x v="2"/>
    <x v="0"/>
  </r>
  <r>
    <x v="19"/>
    <x v="3"/>
    <x v="0"/>
    <x v="0"/>
    <d v="2024-01-15T00:00:00"/>
    <n v="1"/>
    <n v="1939"/>
    <n v="26.95"/>
    <n v="15.17"/>
    <n v="767.1"/>
    <n v="41"/>
    <n v="19"/>
    <n v="5"/>
    <n v="1076"/>
    <n v="0"/>
    <n v="2"/>
    <n v="1"/>
    <n v="0"/>
    <n v="3"/>
    <n v="40.37368421"/>
    <n v="1.547189273"/>
    <n v="1"/>
    <n v="72.58711944"/>
    <n v="0"/>
    <n v="0"/>
    <n v="1"/>
    <x v="0"/>
    <x v="3"/>
    <x v="3"/>
    <x v="1"/>
    <x v="2"/>
  </r>
  <r>
    <x v="19"/>
    <x v="3"/>
    <x v="0"/>
    <x v="1"/>
    <d v="2024-05-20T00:00:00"/>
    <n v="2"/>
    <n v="1939"/>
    <n v="21.3"/>
    <n v="11.66"/>
    <n v="233.2"/>
    <n v="50.4"/>
    <n v="12"/>
    <n v="5"/>
    <n v="319"/>
    <n v="0"/>
    <n v="0"/>
    <n v="0"/>
    <n v="0"/>
    <n v="0"/>
    <n v="19.43333333"/>
    <n v="0"/>
    <n v="0"/>
    <n v="47.66384861"/>
    <n v="3"/>
    <n v="0"/>
    <n v="0"/>
    <x v="0"/>
    <x v="3"/>
    <x v="1"/>
    <x v="1"/>
    <x v="2"/>
  </r>
  <r>
    <x v="19"/>
    <x v="3"/>
    <x v="0"/>
    <x v="2"/>
    <d v="2024-09-10T00:00:00"/>
    <n v="3"/>
    <n v="1939"/>
    <n v="25.33"/>
    <n v="13.58"/>
    <n v="669"/>
    <n v="47.6"/>
    <n v="37"/>
    <n v="5"/>
    <n v="1139"/>
    <n v="0"/>
    <n v="0"/>
    <n v="0"/>
    <n v="0"/>
    <n v="0"/>
    <n v="18.08108108"/>
    <n v="0"/>
    <n v="0"/>
    <n v="65.16798995000001"/>
    <n v="0"/>
    <n v="0"/>
    <n v="0"/>
    <x v="0"/>
    <x v="3"/>
    <x v="3"/>
    <x v="1"/>
    <x v="2"/>
  </r>
  <r>
    <x v="19"/>
    <x v="3"/>
    <x v="0"/>
    <x v="3"/>
    <d v="2025-02-18T00:00:00"/>
    <n v="4"/>
    <n v="1939"/>
    <n v="25.41"/>
    <n v="14"/>
    <n v="616.35"/>
    <n v="41.6"/>
    <n v="3"/>
    <n v="2"/>
    <n v="167"/>
    <n v="0"/>
    <n v="0"/>
    <n v="0"/>
    <n v="1"/>
    <n v="1"/>
    <n v="205.45"/>
    <n v="0.5157297575999999"/>
    <n v="1"/>
    <n v="66.54528102"/>
    <n v="0"/>
    <n v="0"/>
    <n v="0"/>
    <x v="0"/>
    <x v="3"/>
    <x v="3"/>
    <x v="1"/>
    <x v="0"/>
  </r>
  <r>
    <x v="19"/>
    <x v="3"/>
    <x v="0"/>
    <x v="4"/>
    <d v="2025-07-01T00:00:00"/>
    <n v="5"/>
    <n v="1939"/>
    <n v="25.49"/>
    <n v="18.39"/>
    <n v="563.7"/>
    <n v="36.9"/>
    <n v="20"/>
    <n v="5"/>
    <n v="679"/>
    <n v="1"/>
    <n v="0"/>
    <n v="0"/>
    <n v="0"/>
    <n v="1"/>
    <n v="28.185"/>
    <n v="0.5157297575999999"/>
    <n v="0"/>
    <n v="67.32977683"/>
    <n v="1"/>
    <n v="0"/>
    <n v="0"/>
    <x v="0"/>
    <x v="3"/>
    <x v="3"/>
    <x v="0"/>
    <x v="2"/>
  </r>
  <r>
    <x v="46"/>
    <x v="4"/>
    <x v="1"/>
    <x v="0"/>
    <d v="2024-01-15T00:00:00"/>
    <n v="1"/>
    <n v="1634"/>
    <n v="12.36"/>
    <n v="9.565"/>
    <n v="359.7"/>
    <n v="87.40000000000001"/>
    <n v="10"/>
    <n v="4"/>
    <n v="576"/>
    <n v="0"/>
    <n v="0"/>
    <n v="0"/>
    <n v="0"/>
    <n v="0"/>
    <n v="35.97"/>
    <n v="0"/>
    <n v="0"/>
    <n v="24.77004695"/>
    <n v="0"/>
    <n v="0"/>
    <n v="0"/>
    <x v="0"/>
    <x v="1"/>
    <x v="2"/>
    <x v="3"/>
    <x v="1"/>
  </r>
  <r>
    <x v="46"/>
    <x v="4"/>
    <x v="1"/>
    <x v="1"/>
    <d v="2024-05-20T00:00:00"/>
    <n v="2"/>
    <n v="1634"/>
    <n v="11.88"/>
    <n v="10.71"/>
    <n v="165.9"/>
    <n v="91.09999999999999"/>
    <n v="6"/>
    <n v="3"/>
    <n v="298"/>
    <n v="0"/>
    <n v="0"/>
    <n v="0"/>
    <n v="0"/>
    <n v="0"/>
    <n v="27.65"/>
    <n v="0"/>
    <n v="0"/>
    <n v="17.25949533"/>
    <n v="0"/>
    <n v="0"/>
    <n v="0"/>
    <x v="0"/>
    <x v="1"/>
    <x v="1"/>
    <x v="3"/>
    <x v="1"/>
  </r>
  <r>
    <x v="46"/>
    <x v="4"/>
    <x v="1"/>
    <x v="2"/>
    <d v="2024-09-10T00:00:00"/>
    <n v="3"/>
    <n v="1634"/>
    <n v="8.449999999999999"/>
    <n v="8.42"/>
    <n v="132.6"/>
    <n v="84.5"/>
    <n v="4"/>
    <n v="2"/>
    <n v="200"/>
    <n v="0"/>
    <n v="0"/>
    <n v="0"/>
    <n v="0"/>
    <n v="0"/>
    <n v="33.15"/>
    <n v="0"/>
    <n v="0"/>
    <n v="15.71482809"/>
    <n v="0"/>
    <n v="0"/>
    <n v="0"/>
    <x v="0"/>
    <x v="0"/>
    <x v="0"/>
    <x v="3"/>
    <x v="0"/>
  </r>
  <r>
    <x v="46"/>
    <x v="4"/>
    <x v="1"/>
    <x v="3"/>
    <d v="2025-02-18T00:00:00"/>
    <n v="4"/>
    <n v="1634"/>
    <n v="16.37"/>
    <n v="11.93"/>
    <n v="155.2"/>
    <n v="90.59999999999999"/>
    <n v="4"/>
    <n v="2"/>
    <n v="200"/>
    <n v="0"/>
    <n v="0"/>
    <n v="0"/>
    <n v="0"/>
    <n v="0"/>
    <n v="38.8"/>
    <n v="0"/>
    <n v="0"/>
    <n v="21.96056408"/>
    <n v="0"/>
    <n v="0"/>
    <n v="0"/>
    <x v="0"/>
    <x v="2"/>
    <x v="0"/>
    <x v="3"/>
    <x v="0"/>
  </r>
  <r>
    <x v="46"/>
    <x v="4"/>
    <x v="1"/>
    <x v="4"/>
    <d v="2025-07-01T00:00:00"/>
    <n v="5"/>
    <n v="1634"/>
    <n v="6.31"/>
    <n v="5.77"/>
    <n v="131.1"/>
    <n v="76.90000000000001"/>
    <n v="3"/>
    <n v="2"/>
    <n v="198"/>
    <n v="0"/>
    <n v="0"/>
    <n v="0"/>
    <n v="0"/>
    <n v="0"/>
    <n v="43.7"/>
    <n v="0"/>
    <n v="0"/>
    <n v="16.86750959"/>
    <n v="0"/>
    <n v="0"/>
    <n v="0"/>
    <x v="0"/>
    <x v="0"/>
    <x v="0"/>
    <x v="2"/>
    <x v="0"/>
  </r>
  <r>
    <x v="36"/>
    <x v="4"/>
    <x v="3"/>
    <x v="0"/>
    <d v="2024-01-15T00:00:00"/>
    <n v="1"/>
    <n v="1694"/>
    <n v="21.31"/>
    <n v="14.15"/>
    <n v="355.4"/>
    <n v="67.2"/>
    <n v="10"/>
    <n v="3"/>
    <n v="414"/>
    <n v="0"/>
    <n v="1"/>
    <n v="0"/>
    <n v="1"/>
    <n v="2"/>
    <n v="35.54"/>
    <n v="1.180637544"/>
    <n v="1"/>
    <n v="43.36433293"/>
    <n v="0"/>
    <n v="0"/>
    <n v="0"/>
    <x v="0"/>
    <x v="3"/>
    <x v="2"/>
    <x v="2"/>
    <x v="1"/>
  </r>
  <r>
    <x v="36"/>
    <x v="4"/>
    <x v="3"/>
    <x v="1"/>
    <d v="2024-05-20T00:00:00"/>
    <n v="2"/>
    <n v="1694"/>
    <n v="13.84"/>
    <n v="12.69"/>
    <n v="142"/>
    <n v="80.59999999999999"/>
    <n v="5"/>
    <n v="2"/>
    <n v="228"/>
    <n v="0"/>
    <n v="0"/>
    <n v="0"/>
    <n v="0"/>
    <n v="0"/>
    <n v="28.4"/>
    <n v="0"/>
    <n v="0"/>
    <n v="23.47282125"/>
    <n v="2"/>
    <n v="0"/>
    <n v="0"/>
    <x v="0"/>
    <x v="1"/>
    <x v="0"/>
    <x v="3"/>
    <x v="0"/>
  </r>
  <r>
    <x v="36"/>
    <x v="4"/>
    <x v="3"/>
    <x v="2"/>
    <d v="2024-09-10T00:00:00"/>
    <n v="3"/>
    <n v="1694"/>
    <n v="14.59"/>
    <n v="12.9"/>
    <n v="116.5"/>
    <n v="79"/>
    <n v="4"/>
    <n v="2"/>
    <n v="154"/>
    <n v="0"/>
    <n v="0"/>
    <n v="0"/>
    <n v="0"/>
    <n v="0"/>
    <n v="29.125"/>
    <n v="0"/>
    <n v="0"/>
    <n v="24.2994081"/>
    <n v="0"/>
    <n v="0"/>
    <n v="0"/>
    <x v="0"/>
    <x v="1"/>
    <x v="0"/>
    <x v="2"/>
    <x v="0"/>
  </r>
  <r>
    <x v="36"/>
    <x v="4"/>
    <x v="3"/>
    <x v="3"/>
    <d v="2025-02-18T00:00:00"/>
    <n v="4"/>
    <n v="1694"/>
    <n v="15.49"/>
    <n v="13.14"/>
    <n v="370"/>
    <n v="70.2"/>
    <n v="13"/>
    <n v="3"/>
    <n v="498"/>
    <n v="0"/>
    <n v="0"/>
    <n v="0"/>
    <n v="0"/>
    <n v="0"/>
    <n v="28.46153846"/>
    <n v="0"/>
    <n v="0"/>
    <n v="36.21831799"/>
    <n v="0"/>
    <n v="0"/>
    <n v="0"/>
    <x v="0"/>
    <x v="2"/>
    <x v="2"/>
    <x v="2"/>
    <x v="1"/>
  </r>
  <r>
    <x v="36"/>
    <x v="4"/>
    <x v="3"/>
    <x v="4"/>
    <d v="2025-07-01T00:00:00"/>
    <n v="5"/>
    <n v="1694"/>
    <n v="16.58"/>
    <n v="11.03"/>
    <n v="51.2"/>
    <n v="77.40000000000001"/>
    <n v="2"/>
    <n v="1"/>
    <n v="59"/>
    <n v="0"/>
    <n v="0"/>
    <n v="0"/>
    <n v="0"/>
    <n v="0"/>
    <n v="25.6"/>
    <n v="0"/>
    <n v="0"/>
    <n v="25.35106515"/>
    <n v="0"/>
    <n v="0"/>
    <n v="0"/>
    <x v="0"/>
    <x v="2"/>
    <x v="0"/>
    <x v="2"/>
    <x v="0"/>
  </r>
  <r>
    <x v="5"/>
    <x v="4"/>
    <x v="1"/>
    <x v="0"/>
    <d v="2024-01-15T00:00:00"/>
    <n v="1"/>
    <n v="3061"/>
    <n v="21.78"/>
    <n v="13.83"/>
    <n v="336.2"/>
    <n v="67.8"/>
    <n v="8"/>
    <n v="4"/>
    <n v="518"/>
    <n v="0"/>
    <n v="1"/>
    <n v="1"/>
    <n v="1"/>
    <n v="3"/>
    <n v="42.025"/>
    <n v="0.9800718719"/>
    <n v="2"/>
    <n v="43.06322788"/>
    <n v="0"/>
    <n v="1"/>
    <n v="1"/>
    <x v="0"/>
    <x v="3"/>
    <x v="2"/>
    <x v="2"/>
    <x v="1"/>
  </r>
  <r>
    <x v="5"/>
    <x v="4"/>
    <x v="1"/>
    <x v="1"/>
    <d v="2024-05-20T00:00:00"/>
    <n v="2"/>
    <n v="3061"/>
    <n v="25.25"/>
    <n v="13.6"/>
    <n v="540.6"/>
    <n v="62.4"/>
    <n v="18"/>
    <n v="4"/>
    <n v="760"/>
    <n v="1"/>
    <n v="0"/>
    <n v="0"/>
    <n v="1"/>
    <n v="2"/>
    <n v="30.03333333"/>
    <n v="0.653381248"/>
    <n v="1"/>
    <n v="54.81371284"/>
    <n v="3"/>
    <n v="1"/>
    <n v="0"/>
    <x v="0"/>
    <x v="3"/>
    <x v="3"/>
    <x v="2"/>
    <x v="1"/>
  </r>
  <r>
    <x v="5"/>
    <x v="4"/>
    <x v="1"/>
    <x v="2"/>
    <d v="2024-09-10T00:00:00"/>
    <n v="3"/>
    <n v="3061"/>
    <n v="19.79"/>
    <n v="14.54"/>
    <n v="278.5"/>
    <n v="61.3"/>
    <n v="9"/>
    <n v="3"/>
    <n v="431"/>
    <n v="0"/>
    <n v="2"/>
    <n v="0"/>
    <n v="0"/>
    <n v="2"/>
    <n v="30.94444444"/>
    <n v="0.653381248"/>
    <n v="0"/>
    <n v="42.33259872"/>
    <n v="2"/>
    <n v="1"/>
    <n v="0"/>
    <x v="0"/>
    <x v="3"/>
    <x v="1"/>
    <x v="2"/>
    <x v="1"/>
  </r>
  <r>
    <x v="5"/>
    <x v="4"/>
    <x v="1"/>
    <x v="3"/>
    <d v="2025-02-18T00:00:00"/>
    <n v="4"/>
    <n v="3061"/>
    <n v="21.46"/>
    <n v="14.15"/>
    <n v="867.5"/>
    <n v="62.4"/>
    <n v="26"/>
    <n v="6"/>
    <n v="1267"/>
    <n v="1"/>
    <n v="1"/>
    <n v="0"/>
    <n v="0"/>
    <n v="2"/>
    <n v="33.36538462"/>
    <n v="0.653381248"/>
    <n v="0"/>
    <n v="59.75364418"/>
    <n v="2"/>
    <n v="1"/>
    <n v="0"/>
    <x v="0"/>
    <x v="3"/>
    <x v="3"/>
    <x v="2"/>
    <x v="2"/>
  </r>
  <r>
    <x v="5"/>
    <x v="4"/>
    <x v="1"/>
    <x v="4"/>
    <d v="2025-07-01T00:00:00"/>
    <n v="5"/>
    <n v="3061"/>
    <n v="24.92"/>
    <n v="15.65"/>
    <n v="773.4"/>
    <n v="62.4"/>
    <n v="22"/>
    <n v="6"/>
    <n v="1145"/>
    <n v="1"/>
    <n v="3"/>
    <n v="1"/>
    <n v="0"/>
    <n v="5"/>
    <n v="35.15454545"/>
    <n v="1.63345312"/>
    <n v="1"/>
    <n v="60.84654811"/>
    <n v="2"/>
    <n v="1"/>
    <n v="1"/>
    <x v="0"/>
    <x v="3"/>
    <x v="3"/>
    <x v="2"/>
    <x v="2"/>
  </r>
  <r>
    <x v="40"/>
    <x v="4"/>
    <x v="3"/>
    <x v="0"/>
    <d v="2024-01-15T00:00:00"/>
    <n v="1"/>
    <n v="3572"/>
    <n v="2"/>
    <n v="7.84"/>
    <n v="291.1"/>
    <n v="68.8"/>
    <n v="12"/>
    <n v="3"/>
    <n v="321"/>
    <n v="0"/>
    <n v="0"/>
    <n v="0"/>
    <n v="0"/>
    <n v="0"/>
    <n v="24.25833333"/>
    <n v="0"/>
    <n v="0"/>
    <n v="20.37275573"/>
    <n v="0"/>
    <n v="0"/>
    <n v="0"/>
    <x v="0"/>
    <x v="0"/>
    <x v="2"/>
    <x v="2"/>
    <x v="1"/>
  </r>
  <r>
    <x v="40"/>
    <x v="4"/>
    <x v="3"/>
    <x v="1"/>
    <d v="2024-05-20T00:00:00"/>
    <n v="2"/>
    <n v="3572"/>
    <n v="2.34"/>
    <n v="5.965"/>
    <n v="437"/>
    <n v="79.3"/>
    <n v="14"/>
    <n v="5"/>
    <n v="590"/>
    <n v="0"/>
    <n v="0"/>
    <n v="0"/>
    <n v="0"/>
    <n v="0"/>
    <n v="31.21428571"/>
    <n v="0"/>
    <n v="0"/>
    <n v="19.94616692"/>
    <n v="0"/>
    <n v="0"/>
    <n v="0"/>
    <x v="0"/>
    <x v="0"/>
    <x v="3"/>
    <x v="2"/>
    <x v="2"/>
  </r>
  <r>
    <x v="40"/>
    <x v="4"/>
    <x v="3"/>
    <x v="2"/>
    <d v="2024-09-10T00:00:00"/>
    <n v="3"/>
    <n v="3572"/>
    <n v="4.52"/>
    <n v="4.09"/>
    <n v="230.1"/>
    <n v="83.2"/>
    <n v="7"/>
    <n v="3"/>
    <n v="380"/>
    <n v="1"/>
    <n v="0"/>
    <n v="0"/>
    <n v="0"/>
    <n v="1"/>
    <n v="32.87142857"/>
    <n v="0.2799552072"/>
    <n v="0"/>
    <n v="14.80900574"/>
    <n v="0"/>
    <n v="0"/>
    <n v="0"/>
    <x v="0"/>
    <x v="0"/>
    <x v="1"/>
    <x v="3"/>
    <x v="1"/>
  </r>
  <r>
    <x v="40"/>
    <x v="4"/>
    <x v="3"/>
    <x v="3"/>
    <d v="2025-02-18T00:00:00"/>
    <n v="4"/>
    <n v="3572"/>
    <n v="2"/>
    <n v="1"/>
    <n v="287.4"/>
    <n v="81.5"/>
    <n v="7"/>
    <n v="3"/>
    <n v="512"/>
    <n v="0"/>
    <n v="0"/>
    <n v="0"/>
    <n v="0"/>
    <n v="0"/>
    <n v="41.05714286"/>
    <n v="0"/>
    <n v="0"/>
    <n v="14.48015159"/>
    <n v="1"/>
    <n v="0"/>
    <n v="0"/>
    <x v="0"/>
    <x v="0"/>
    <x v="2"/>
    <x v="3"/>
    <x v="1"/>
  </r>
  <r>
    <x v="40"/>
    <x v="4"/>
    <x v="3"/>
    <x v="4"/>
    <d v="2025-07-01T00:00:00"/>
    <n v="5"/>
    <n v="3572"/>
    <n v="3.52"/>
    <n v="10.65"/>
    <n v="618.9"/>
    <n v="71.90000000000001"/>
    <n v="31"/>
    <n v="8"/>
    <n v="734"/>
    <n v="0"/>
    <n v="0"/>
    <n v="0"/>
    <n v="0"/>
    <n v="0"/>
    <n v="19.96451613"/>
    <n v="0"/>
    <n v="0"/>
    <n v="29.56071819"/>
    <n v="0"/>
    <n v="0"/>
    <n v="0"/>
    <x v="0"/>
    <x v="0"/>
    <x v="3"/>
    <x v="2"/>
    <x v="3"/>
  </r>
  <r>
    <x v="11"/>
    <x v="4"/>
    <x v="1"/>
    <x v="0"/>
    <d v="2024-01-15T00:00:00"/>
    <n v="1"/>
    <n v="1649"/>
    <n v="16.64"/>
    <n v="11.7"/>
    <n v="299.9"/>
    <n v="68.2"/>
    <n v="10"/>
    <n v="3"/>
    <n v="383"/>
    <n v="0"/>
    <n v="0"/>
    <n v="0"/>
    <n v="0"/>
    <n v="0"/>
    <n v="29.99"/>
    <n v="0"/>
    <n v="0"/>
    <n v="36.42904241"/>
    <n v="0"/>
    <n v="1"/>
    <n v="0"/>
    <x v="0"/>
    <x v="2"/>
    <x v="2"/>
    <x v="2"/>
    <x v="1"/>
  </r>
  <r>
    <x v="11"/>
    <x v="4"/>
    <x v="1"/>
    <x v="1"/>
    <d v="2024-05-20T00:00:00"/>
    <n v="2"/>
    <n v="1649"/>
    <n v="17.03"/>
    <n v="11.85"/>
    <n v="178"/>
    <n v="71.3"/>
    <n v="7"/>
    <n v="4"/>
    <n v="293"/>
    <n v="0"/>
    <n v="1"/>
    <n v="1"/>
    <n v="0"/>
    <n v="2"/>
    <n v="25.42857143"/>
    <n v="1.212856277"/>
    <n v="1"/>
    <n v="32.08708484"/>
    <n v="0"/>
    <n v="1"/>
    <n v="0"/>
    <x v="0"/>
    <x v="2"/>
    <x v="1"/>
    <x v="2"/>
    <x v="1"/>
  </r>
  <r>
    <x v="11"/>
    <x v="4"/>
    <x v="1"/>
    <x v="2"/>
    <d v="2024-09-10T00:00:00"/>
    <n v="3"/>
    <n v="1649"/>
    <n v="17.19"/>
    <n v="13.43"/>
    <n v="320.5"/>
    <n v="64.3"/>
    <n v="8"/>
    <n v="2"/>
    <n v="479"/>
    <n v="1"/>
    <n v="0"/>
    <n v="0"/>
    <n v="0"/>
    <n v="1"/>
    <n v="40.0625"/>
    <n v="0.6064281383"/>
    <n v="0"/>
    <n v="39.35612464"/>
    <n v="2"/>
    <n v="1"/>
    <n v="0"/>
    <x v="0"/>
    <x v="2"/>
    <x v="2"/>
    <x v="2"/>
    <x v="0"/>
  </r>
  <r>
    <x v="11"/>
    <x v="4"/>
    <x v="1"/>
    <x v="3"/>
    <d v="2025-02-18T00:00:00"/>
    <n v="4"/>
    <n v="1649"/>
    <n v="13.62"/>
    <n v="12"/>
    <n v="200.8"/>
    <n v="64.5"/>
    <n v="6"/>
    <n v="2"/>
    <n v="352"/>
    <n v="0"/>
    <n v="1"/>
    <n v="0"/>
    <n v="0"/>
    <n v="1"/>
    <n v="33.46666667"/>
    <n v="0.6064281383"/>
    <n v="0"/>
    <n v="32.19305673"/>
    <n v="1"/>
    <n v="1"/>
    <n v="0"/>
    <x v="0"/>
    <x v="1"/>
    <x v="1"/>
    <x v="2"/>
    <x v="0"/>
  </r>
  <r>
    <x v="11"/>
    <x v="4"/>
    <x v="1"/>
    <x v="4"/>
    <d v="2025-07-01T00:00:00"/>
    <n v="5"/>
    <n v="1649"/>
    <n v="17.44"/>
    <n v="10.23"/>
    <n v="399"/>
    <n v="61.8"/>
    <n v="19"/>
    <n v="6"/>
    <n v="566"/>
    <n v="2"/>
    <n v="0"/>
    <n v="1"/>
    <n v="0"/>
    <n v="3"/>
    <n v="21"/>
    <n v="1.819284415"/>
    <n v="1"/>
    <n v="42.91390335"/>
    <n v="1"/>
    <n v="1"/>
    <n v="1"/>
    <x v="0"/>
    <x v="2"/>
    <x v="3"/>
    <x v="2"/>
    <x v="2"/>
  </r>
  <r>
    <x v="37"/>
    <x v="4"/>
    <x v="3"/>
    <x v="0"/>
    <d v="2024-01-15T00:00:00"/>
    <n v="1"/>
    <n v="1188"/>
    <n v="4.34"/>
    <n v="4.86"/>
    <n v="300.35"/>
    <n v="51"/>
    <n v="1"/>
    <n v="1"/>
    <n v="60"/>
    <n v="0"/>
    <n v="0"/>
    <n v="0"/>
    <n v="0"/>
    <n v="0"/>
    <n v="300.35"/>
    <n v="0"/>
    <n v="0"/>
    <n v="31.2271934"/>
    <n v="0"/>
    <n v="0"/>
    <n v="0"/>
    <x v="0"/>
    <x v="0"/>
    <x v="2"/>
    <x v="1"/>
    <x v="0"/>
  </r>
  <r>
    <x v="37"/>
    <x v="4"/>
    <x v="3"/>
    <x v="1"/>
    <d v="2024-05-20T00:00:00"/>
    <n v="2"/>
    <n v="1188"/>
    <n v="2"/>
    <n v="9.449999999999999"/>
    <n v="472"/>
    <n v="55.3"/>
    <n v="24"/>
    <n v="6"/>
    <n v="614"/>
    <n v="0"/>
    <n v="0"/>
    <n v="1"/>
    <n v="0"/>
    <n v="1"/>
    <n v="19.66666667"/>
    <n v="0.8417508418"/>
    <n v="1"/>
    <n v="31.48881177"/>
    <n v="0"/>
    <n v="0"/>
    <n v="0"/>
    <x v="0"/>
    <x v="0"/>
    <x v="3"/>
    <x v="1"/>
    <x v="2"/>
  </r>
  <r>
    <x v="37"/>
    <x v="4"/>
    <x v="3"/>
    <x v="2"/>
    <d v="2024-09-10T00:00:00"/>
    <n v="3"/>
    <n v="1188"/>
    <n v="6.4"/>
    <n v="5.38"/>
    <n v="180.3"/>
    <n v="49.7"/>
    <n v="4"/>
    <n v="2"/>
    <n v="267"/>
    <n v="0"/>
    <n v="0"/>
    <n v="0"/>
    <n v="0"/>
    <n v="0"/>
    <n v="45.075"/>
    <n v="0"/>
    <n v="0"/>
    <n v="30.71516879"/>
    <n v="1"/>
    <n v="0"/>
    <n v="0"/>
    <x v="0"/>
    <x v="0"/>
    <x v="1"/>
    <x v="1"/>
    <x v="0"/>
  </r>
  <r>
    <x v="37"/>
    <x v="4"/>
    <x v="3"/>
    <x v="3"/>
    <d v="2025-02-18T00:00:00"/>
    <n v="4"/>
    <n v="1188"/>
    <n v="2"/>
    <n v="8.77"/>
    <n v="262.4"/>
    <n v="51"/>
    <n v="7"/>
    <n v="2"/>
    <n v="376"/>
    <n v="0"/>
    <n v="0"/>
    <n v="0"/>
    <n v="1"/>
    <n v="1"/>
    <n v="37.48571429"/>
    <n v="0.8417508418"/>
    <n v="1"/>
    <n v="27.7025642"/>
    <n v="0"/>
    <n v="0"/>
    <n v="0"/>
    <x v="0"/>
    <x v="0"/>
    <x v="1"/>
    <x v="1"/>
    <x v="0"/>
  </r>
  <r>
    <x v="37"/>
    <x v="4"/>
    <x v="3"/>
    <x v="4"/>
    <d v="2025-07-01T00:00:00"/>
    <n v="5"/>
    <n v="1188"/>
    <n v="2"/>
    <n v="7.075"/>
    <n v="338.3"/>
    <n v="51"/>
    <n v="12"/>
    <n v="3"/>
    <n v="444"/>
    <n v="0"/>
    <n v="0"/>
    <n v="0"/>
    <n v="0"/>
    <n v="0"/>
    <n v="28.19166667"/>
    <n v="0"/>
    <n v="0"/>
    <n v="29.78366973"/>
    <n v="1"/>
    <n v="0"/>
    <n v="0"/>
    <x v="0"/>
    <x v="0"/>
    <x v="2"/>
    <x v="1"/>
    <x v="1"/>
  </r>
  <r>
    <x v="6"/>
    <x v="4"/>
    <x v="1"/>
    <x v="0"/>
    <d v="2024-01-15T00:00:00"/>
    <n v="1"/>
    <n v="1361"/>
    <n v="25.85"/>
    <n v="14.4"/>
    <n v="136.8"/>
    <n v="45.7"/>
    <n v="6"/>
    <n v="3"/>
    <n v="174"/>
    <n v="1"/>
    <n v="0"/>
    <n v="0"/>
    <n v="0"/>
    <n v="1"/>
    <n v="22.8"/>
    <n v="0.7347538575"/>
    <n v="0"/>
    <n v="51.99398412"/>
    <n v="0"/>
    <n v="1"/>
    <n v="0"/>
    <x v="0"/>
    <x v="3"/>
    <x v="0"/>
    <x v="1"/>
    <x v="1"/>
  </r>
  <r>
    <x v="6"/>
    <x v="4"/>
    <x v="1"/>
    <x v="1"/>
    <d v="2024-05-20T00:00:00"/>
    <n v="2"/>
    <n v="1361"/>
    <n v="26.69"/>
    <n v="16.7"/>
    <n v="264.55"/>
    <n v="36.3"/>
    <n v="21"/>
    <n v="6"/>
    <n v="1445"/>
    <n v="1"/>
    <n v="1"/>
    <n v="2"/>
    <n v="0"/>
    <n v="4"/>
    <n v="12.59761905"/>
    <n v="2.93901543"/>
    <n v="2"/>
    <n v="60.6748526"/>
    <n v="1"/>
    <n v="1"/>
    <n v="1"/>
    <x v="0"/>
    <x v="3"/>
    <x v="1"/>
    <x v="0"/>
    <x v="2"/>
  </r>
  <r>
    <x v="6"/>
    <x v="4"/>
    <x v="1"/>
    <x v="2"/>
    <d v="2024-09-10T00:00:00"/>
    <n v="3"/>
    <n v="1361"/>
    <n v="25.27"/>
    <n v="13.37"/>
    <n v="266.6"/>
    <n v="36.4"/>
    <n v="11"/>
    <n v="4"/>
    <n v="365"/>
    <n v="0"/>
    <n v="1"/>
    <n v="0"/>
    <n v="0"/>
    <n v="1"/>
    <n v="24.23636364"/>
    <n v="0.7347538575"/>
    <n v="0"/>
    <n v="59.17803101"/>
    <n v="4"/>
    <n v="1"/>
    <n v="0"/>
    <x v="0"/>
    <x v="3"/>
    <x v="1"/>
    <x v="0"/>
    <x v="1"/>
  </r>
  <r>
    <x v="6"/>
    <x v="4"/>
    <x v="1"/>
    <x v="3"/>
    <d v="2025-02-18T00:00:00"/>
    <n v="4"/>
    <n v="1361"/>
    <n v="27.53"/>
    <n v="16.57"/>
    <n v="382.1"/>
    <n v="45.7"/>
    <n v="10"/>
    <n v="4"/>
    <n v="436"/>
    <n v="1"/>
    <n v="1"/>
    <n v="1"/>
    <n v="0"/>
    <n v="3"/>
    <n v="38.21"/>
    <n v="2.204261572"/>
    <n v="1"/>
    <n v="60.50331541"/>
    <n v="1"/>
    <n v="1"/>
    <n v="1"/>
    <x v="0"/>
    <x v="3"/>
    <x v="2"/>
    <x v="1"/>
    <x v="1"/>
  </r>
  <r>
    <x v="6"/>
    <x v="4"/>
    <x v="1"/>
    <x v="4"/>
    <d v="2025-07-01T00:00:00"/>
    <n v="5"/>
    <n v="1361"/>
    <n v="33.4"/>
    <n v="15.485"/>
    <n v="262.5"/>
    <n v="41.05"/>
    <n v="7"/>
    <n v="3"/>
    <n v="404"/>
    <n v="1"/>
    <n v="2"/>
    <n v="1"/>
    <n v="0"/>
    <n v="4"/>
    <n v="37.5"/>
    <n v="2.93901543"/>
    <n v="1"/>
    <n v="65.57580314"/>
    <n v="3"/>
    <n v="1"/>
    <n v="1"/>
    <x v="0"/>
    <x v="3"/>
    <x v="1"/>
    <x v="1"/>
    <x v="1"/>
  </r>
  <r>
    <x v="26"/>
    <x v="4"/>
    <x v="1"/>
    <x v="0"/>
    <d v="2024-01-15T00:00:00"/>
    <n v="1"/>
    <n v="2203"/>
    <n v="3.86"/>
    <n v="2.01"/>
    <n v="213.5"/>
    <n v="72.8"/>
    <n v="10"/>
    <n v="3"/>
    <n v="290"/>
    <n v="0"/>
    <n v="0"/>
    <n v="1"/>
    <n v="0"/>
    <n v="1"/>
    <n v="21.35"/>
    <n v="0.4539264639"/>
    <n v="1"/>
    <n v="18.3955747"/>
    <n v="0"/>
    <n v="0"/>
    <n v="0"/>
    <x v="0"/>
    <x v="0"/>
    <x v="1"/>
    <x v="2"/>
    <x v="1"/>
  </r>
  <r>
    <x v="26"/>
    <x v="4"/>
    <x v="1"/>
    <x v="1"/>
    <d v="2024-05-20T00:00:00"/>
    <n v="2"/>
    <n v="2203"/>
    <n v="16.31"/>
    <n v="8.289999999999999"/>
    <n v="487"/>
    <n v="76"/>
    <n v="13"/>
    <n v="5"/>
    <n v="573"/>
    <n v="0"/>
    <n v="2"/>
    <n v="0"/>
    <n v="0"/>
    <n v="2"/>
    <n v="37.46153846"/>
    <n v="0.9078529278"/>
    <n v="0"/>
    <n v="37.65205577"/>
    <n v="1"/>
    <n v="0"/>
    <n v="0"/>
    <x v="0"/>
    <x v="2"/>
    <x v="3"/>
    <x v="2"/>
    <x v="2"/>
  </r>
  <r>
    <x v="26"/>
    <x v="4"/>
    <x v="1"/>
    <x v="2"/>
    <d v="2024-09-10T00:00:00"/>
    <n v="3"/>
    <n v="2203"/>
    <n v="13.83"/>
    <n v="9.960000000000001"/>
    <n v="272.6"/>
    <n v="69.59999999999999"/>
    <n v="12"/>
    <n v="4"/>
    <n v="394"/>
    <n v="0"/>
    <n v="0"/>
    <n v="0"/>
    <n v="0"/>
    <n v="0"/>
    <n v="22.71666667"/>
    <n v="0"/>
    <n v="0"/>
    <n v="32.05909272"/>
    <n v="2"/>
    <n v="0"/>
    <n v="0"/>
    <x v="0"/>
    <x v="1"/>
    <x v="1"/>
    <x v="2"/>
    <x v="1"/>
  </r>
  <r>
    <x v="26"/>
    <x v="4"/>
    <x v="1"/>
    <x v="3"/>
    <d v="2025-02-18T00:00:00"/>
    <n v="4"/>
    <n v="2203"/>
    <n v="9.470000000000001"/>
    <n v="9.800000000000001"/>
    <n v="433.2"/>
    <n v="73"/>
    <n v="11"/>
    <n v="4"/>
    <n v="637"/>
    <n v="1"/>
    <n v="0"/>
    <n v="0"/>
    <n v="0"/>
    <n v="1"/>
    <n v="39.38181818"/>
    <n v="0.4539264639"/>
    <n v="0"/>
    <n v="30.28375369"/>
    <n v="0"/>
    <n v="0"/>
    <n v="0"/>
    <x v="0"/>
    <x v="0"/>
    <x v="3"/>
    <x v="2"/>
    <x v="1"/>
  </r>
  <r>
    <x v="26"/>
    <x v="4"/>
    <x v="1"/>
    <x v="4"/>
    <d v="2025-07-01T00:00:00"/>
    <n v="5"/>
    <n v="2203"/>
    <n v="9.029999999999999"/>
    <n v="4.38"/>
    <n v="47.1"/>
    <n v="67.5"/>
    <n v="2"/>
    <n v="1"/>
    <n v="69"/>
    <n v="0"/>
    <n v="0"/>
    <n v="0"/>
    <n v="0"/>
    <n v="0"/>
    <n v="23.55"/>
    <n v="0"/>
    <n v="0"/>
    <n v="21.73814895"/>
    <n v="1"/>
    <n v="0"/>
    <n v="0"/>
    <x v="0"/>
    <x v="0"/>
    <x v="0"/>
    <x v="2"/>
    <x v="0"/>
  </r>
  <r>
    <x v="20"/>
    <x v="5"/>
    <x v="2"/>
    <x v="0"/>
    <d v="2024-01-15T00:00:00"/>
    <n v="1"/>
    <n v="2488"/>
    <n v="11.93"/>
    <n v="8.289999999999999"/>
    <n v="368.1"/>
    <n v="61.5"/>
    <n v="10"/>
    <n v="4"/>
    <n v="601"/>
    <n v="0"/>
    <n v="0"/>
    <n v="0"/>
    <n v="0"/>
    <n v="0"/>
    <n v="36.81"/>
    <n v="0"/>
    <n v="0"/>
    <n v="36.35419686"/>
    <n v="0"/>
    <n v="1"/>
    <n v="0"/>
    <x v="0"/>
    <x v="1"/>
    <x v="2"/>
    <x v="2"/>
    <x v="1"/>
  </r>
  <r>
    <x v="20"/>
    <x v="5"/>
    <x v="2"/>
    <x v="1"/>
    <d v="2024-05-20T00:00:00"/>
    <n v="2"/>
    <n v="2488"/>
    <n v="10.38"/>
    <n v="9.025"/>
    <n v="287.4"/>
    <n v="59.6"/>
    <n v="9"/>
    <n v="3"/>
    <n v="360"/>
    <n v="0"/>
    <n v="2"/>
    <n v="0"/>
    <n v="0"/>
    <n v="2"/>
    <n v="31.93333333"/>
    <n v="0.8038585209"/>
    <n v="0"/>
    <n v="33.36243773"/>
    <n v="0"/>
    <n v="1"/>
    <n v="0"/>
    <x v="0"/>
    <x v="0"/>
    <x v="2"/>
    <x v="1"/>
    <x v="1"/>
  </r>
  <r>
    <x v="20"/>
    <x v="5"/>
    <x v="2"/>
    <x v="2"/>
    <d v="2024-09-10T00:00:00"/>
    <n v="3"/>
    <n v="2488"/>
    <n v="14.33"/>
    <n v="8.300000000000001"/>
    <n v="348.9"/>
    <n v="59.25"/>
    <n v="9"/>
    <n v="2"/>
    <n v="479"/>
    <n v="1"/>
    <n v="0"/>
    <n v="0"/>
    <n v="0"/>
    <n v="1"/>
    <n v="38.76666667"/>
    <n v="0.4019292605"/>
    <n v="0"/>
    <n v="39.40151368"/>
    <n v="2"/>
    <n v="1"/>
    <n v="0"/>
    <x v="0"/>
    <x v="1"/>
    <x v="2"/>
    <x v="1"/>
    <x v="0"/>
  </r>
  <r>
    <x v="20"/>
    <x v="5"/>
    <x v="2"/>
    <x v="3"/>
    <d v="2025-02-18T00:00:00"/>
    <n v="4"/>
    <n v="2488"/>
    <n v="11.155"/>
    <n v="13.47"/>
    <n v="604.9"/>
    <n v="57.9"/>
    <n v="17"/>
    <n v="4"/>
    <n v="1039"/>
    <n v="0"/>
    <n v="1"/>
    <n v="0"/>
    <n v="0"/>
    <n v="1"/>
    <n v="35.58235294"/>
    <n v="0.4019292605"/>
    <n v="0"/>
    <n v="43.66589603"/>
    <n v="1"/>
    <n v="1"/>
    <n v="0"/>
    <x v="1"/>
    <x v="1"/>
    <x v="3"/>
    <x v="1"/>
    <x v="1"/>
  </r>
  <r>
    <x v="20"/>
    <x v="5"/>
    <x v="2"/>
    <x v="4"/>
    <d v="2025-07-01T00:00:00"/>
    <n v="5"/>
    <n v="2488"/>
    <n v="9.880000000000001"/>
    <n v="9.75"/>
    <n v="214.1"/>
    <n v="58.9"/>
    <n v="6"/>
    <n v="3"/>
    <n v="384"/>
    <n v="0"/>
    <n v="1"/>
    <n v="0"/>
    <n v="0"/>
    <n v="1"/>
    <n v="35.68333333"/>
    <n v="0.4019292605"/>
    <n v="0"/>
    <n v="31.1410336"/>
    <n v="1"/>
    <n v="1"/>
    <n v="0"/>
    <x v="0"/>
    <x v="0"/>
    <x v="1"/>
    <x v="1"/>
    <x v="1"/>
  </r>
  <r>
    <x v="30"/>
    <x v="5"/>
    <x v="2"/>
    <x v="0"/>
    <d v="2024-01-15T00:00:00"/>
    <n v="1"/>
    <n v="1545"/>
    <n v="19.785"/>
    <n v="12.45"/>
    <n v="72.09999999999999"/>
    <n v="57.65"/>
    <n v="2"/>
    <n v="1"/>
    <n v="126"/>
    <n v="0"/>
    <n v="0"/>
    <n v="0"/>
    <n v="0"/>
    <n v="0"/>
    <n v="36.05"/>
    <n v="0"/>
    <n v="0"/>
    <n v="38.33238661"/>
    <n v="0"/>
    <n v="0"/>
    <n v="0"/>
    <x v="0"/>
    <x v="3"/>
    <x v="0"/>
    <x v="1"/>
    <x v="0"/>
  </r>
  <r>
    <x v="30"/>
    <x v="5"/>
    <x v="2"/>
    <x v="1"/>
    <d v="2024-05-20T00:00:00"/>
    <n v="2"/>
    <n v="1545"/>
    <n v="18.57"/>
    <n v="9.800000000000001"/>
    <n v="272.5"/>
    <n v="55.4"/>
    <n v="10"/>
    <n v="3"/>
    <n v="346"/>
    <n v="1"/>
    <n v="1"/>
    <n v="1"/>
    <n v="0"/>
    <n v="3"/>
    <n v="27.25"/>
    <n v="1.941747573"/>
    <n v="1"/>
    <n v="43.56334615"/>
    <n v="0"/>
    <n v="0"/>
    <n v="1"/>
    <x v="0"/>
    <x v="2"/>
    <x v="1"/>
    <x v="1"/>
    <x v="1"/>
  </r>
  <r>
    <x v="30"/>
    <x v="5"/>
    <x v="2"/>
    <x v="2"/>
    <d v="2024-09-10T00:00:00"/>
    <n v="3"/>
    <n v="1545"/>
    <n v="20.83"/>
    <n v="16.1"/>
    <n v="49.2"/>
    <n v="54.7"/>
    <n v="1"/>
    <n v="1"/>
    <n v="71"/>
    <n v="0"/>
    <n v="0"/>
    <n v="0"/>
    <n v="0"/>
    <n v="0"/>
    <n v="49.2"/>
    <n v="0"/>
    <n v="0"/>
    <n v="40.15902153"/>
    <n v="3"/>
    <n v="0"/>
    <n v="0"/>
    <x v="0"/>
    <x v="3"/>
    <x v="0"/>
    <x v="1"/>
    <x v="0"/>
  </r>
  <r>
    <x v="30"/>
    <x v="5"/>
    <x v="2"/>
    <x v="3"/>
    <d v="2025-02-18T00:00:00"/>
    <n v="4"/>
    <n v="1545"/>
    <n v="18.74"/>
    <n v="13.26"/>
    <n v="221.1"/>
    <n v="59.9"/>
    <n v="5"/>
    <n v="2"/>
    <n v="390"/>
    <n v="0"/>
    <n v="0"/>
    <n v="0"/>
    <n v="0"/>
    <n v="0"/>
    <n v="44.22"/>
    <n v="0"/>
    <n v="0"/>
    <n v="40.28249073"/>
    <n v="0"/>
    <n v="0"/>
    <n v="0"/>
    <x v="0"/>
    <x v="2"/>
    <x v="1"/>
    <x v="1"/>
    <x v="0"/>
  </r>
  <r>
    <x v="30"/>
    <x v="5"/>
    <x v="2"/>
    <x v="4"/>
    <d v="2025-07-01T00:00:00"/>
    <n v="5"/>
    <n v="1545"/>
    <n v="21.02"/>
    <n v="12.855"/>
    <n v="244.8"/>
    <n v="65.09999999999999"/>
    <n v="6"/>
    <n v="2"/>
    <n v="373"/>
    <n v="0"/>
    <n v="0"/>
    <n v="0"/>
    <n v="0"/>
    <n v="0"/>
    <n v="40.8"/>
    <n v="0"/>
    <n v="0"/>
    <n v="40.98152324"/>
    <n v="0"/>
    <n v="0"/>
    <n v="0"/>
    <x v="0"/>
    <x v="3"/>
    <x v="1"/>
    <x v="2"/>
    <x v="0"/>
  </r>
  <r>
    <x v="27"/>
    <x v="5"/>
    <x v="2"/>
    <x v="0"/>
    <d v="2024-01-15T00:00:00"/>
    <n v="1"/>
    <n v="1617"/>
    <n v="16.45"/>
    <n v="5.54"/>
    <n v="333.7"/>
    <n v="53.4"/>
    <n v="15"/>
    <n v="5"/>
    <n v="446"/>
    <n v="0"/>
    <n v="0"/>
    <n v="0"/>
    <n v="0"/>
    <n v="0"/>
    <n v="22.24666667"/>
    <n v="0"/>
    <n v="0"/>
    <n v="43.90285364"/>
    <n v="0"/>
    <n v="1"/>
    <n v="0"/>
    <x v="0"/>
    <x v="2"/>
    <x v="2"/>
    <x v="1"/>
    <x v="2"/>
  </r>
  <r>
    <x v="27"/>
    <x v="5"/>
    <x v="2"/>
    <x v="1"/>
    <d v="2024-05-20T00:00:00"/>
    <n v="2"/>
    <n v="1617"/>
    <n v="19.56"/>
    <n v="11.83"/>
    <n v="891.5"/>
    <n v="66.2"/>
    <n v="39"/>
    <n v="8"/>
    <n v="1253"/>
    <n v="1"/>
    <n v="0"/>
    <n v="0"/>
    <n v="0"/>
    <n v="1"/>
    <n v="22.85897436"/>
    <n v="0.6184291899"/>
    <n v="0"/>
    <n v="56.66192999"/>
    <n v="0"/>
    <n v="1"/>
    <n v="0"/>
    <x v="0"/>
    <x v="3"/>
    <x v="3"/>
    <x v="2"/>
    <x v="3"/>
  </r>
  <r>
    <x v="27"/>
    <x v="5"/>
    <x v="2"/>
    <x v="2"/>
    <d v="2024-09-10T00:00:00"/>
    <n v="3"/>
    <n v="1617"/>
    <n v="11.35"/>
    <n v="8.6"/>
    <n v="149.7"/>
    <n v="63.9"/>
    <n v="7"/>
    <n v="3"/>
    <n v="205"/>
    <n v="0"/>
    <n v="0"/>
    <n v="1"/>
    <n v="0"/>
    <n v="1"/>
    <n v="21.38571429"/>
    <n v="0.6184291899"/>
    <n v="1"/>
    <n v="28.65577488"/>
    <n v="1"/>
    <n v="1"/>
    <n v="0"/>
    <x v="0"/>
    <x v="1"/>
    <x v="0"/>
    <x v="2"/>
    <x v="1"/>
  </r>
  <r>
    <x v="27"/>
    <x v="5"/>
    <x v="2"/>
    <x v="3"/>
    <d v="2025-02-18T00:00:00"/>
    <n v="4"/>
    <n v="1617"/>
    <n v="12.32"/>
    <n v="11.75"/>
    <n v="193.8"/>
    <n v="66.40000000000001"/>
    <n v="4"/>
    <n v="2"/>
    <n v="237"/>
    <n v="1"/>
    <n v="0"/>
    <n v="0"/>
    <n v="0"/>
    <n v="1"/>
    <n v="48.45"/>
    <n v="0.6184291899"/>
    <n v="0"/>
    <n v="29.75468788"/>
    <n v="1"/>
    <n v="1"/>
    <n v="0"/>
    <x v="0"/>
    <x v="1"/>
    <x v="1"/>
    <x v="2"/>
    <x v="0"/>
  </r>
  <r>
    <x v="27"/>
    <x v="5"/>
    <x v="2"/>
    <x v="4"/>
    <d v="2025-07-01T00:00:00"/>
    <n v="5"/>
    <n v="1617"/>
    <n v="17.34"/>
    <n v="9"/>
    <n v="323"/>
    <n v="67.40000000000001"/>
    <n v="10"/>
    <n v="4"/>
    <n v="423"/>
    <n v="1"/>
    <n v="0"/>
    <n v="0"/>
    <n v="0"/>
    <n v="1"/>
    <n v="32.3"/>
    <n v="0.6184291899"/>
    <n v="0"/>
    <n v="38.17031923"/>
    <n v="1"/>
    <n v="1"/>
    <n v="0"/>
    <x v="0"/>
    <x v="2"/>
    <x v="2"/>
    <x v="2"/>
    <x v="1"/>
  </r>
  <r>
    <x v="31"/>
    <x v="5"/>
    <x v="2"/>
    <x v="0"/>
    <d v="2024-01-15T00:00:00"/>
    <n v="1"/>
    <n v="2750"/>
    <n v="21.63"/>
    <n v="15.27"/>
    <n v="282"/>
    <n v="71.59999999999999"/>
    <n v="8"/>
    <n v="3"/>
    <n v="390"/>
    <n v="0"/>
    <n v="0"/>
    <n v="0"/>
    <n v="0"/>
    <n v="0"/>
    <n v="35.25"/>
    <n v="0"/>
    <n v="0"/>
    <n v="39.68509382"/>
    <n v="0"/>
    <n v="0"/>
    <n v="0"/>
    <x v="0"/>
    <x v="3"/>
    <x v="1"/>
    <x v="2"/>
    <x v="1"/>
  </r>
  <r>
    <x v="31"/>
    <x v="5"/>
    <x v="2"/>
    <x v="1"/>
    <d v="2024-05-20T00:00:00"/>
    <n v="2"/>
    <n v="2750"/>
    <n v="20.58"/>
    <n v="13.94"/>
    <n v="397.2"/>
    <n v="71.2"/>
    <n v="21"/>
    <n v="4"/>
    <n v="491"/>
    <n v="2"/>
    <n v="0"/>
    <n v="0"/>
    <n v="0"/>
    <n v="2"/>
    <n v="18.91428571"/>
    <n v="0.7272727273"/>
    <n v="0"/>
    <n v="41.9115167"/>
    <n v="0"/>
    <n v="0"/>
    <n v="0"/>
    <x v="0"/>
    <x v="3"/>
    <x v="2"/>
    <x v="2"/>
    <x v="1"/>
  </r>
  <r>
    <x v="31"/>
    <x v="5"/>
    <x v="2"/>
    <x v="2"/>
    <d v="2024-09-10T00:00:00"/>
    <n v="3"/>
    <n v="2750"/>
    <n v="17.51"/>
    <n v="13.4"/>
    <n v="214.6"/>
    <n v="70.40000000000001"/>
    <n v="6"/>
    <n v="3"/>
    <n v="266"/>
    <n v="0"/>
    <n v="0"/>
    <n v="0"/>
    <n v="0"/>
    <n v="0"/>
    <n v="35.76666667"/>
    <n v="0"/>
    <n v="0"/>
    <n v="34.01057276"/>
    <n v="2"/>
    <n v="0"/>
    <n v="0"/>
    <x v="0"/>
    <x v="2"/>
    <x v="1"/>
    <x v="2"/>
    <x v="1"/>
  </r>
  <r>
    <x v="31"/>
    <x v="5"/>
    <x v="2"/>
    <x v="3"/>
    <d v="2025-02-18T00:00:00"/>
    <n v="4"/>
    <n v="2750"/>
    <n v="14.25"/>
    <n v="9.68"/>
    <n v="33.7"/>
    <n v="66.7"/>
    <n v="1"/>
    <n v="1"/>
    <n v="46"/>
    <n v="0"/>
    <n v="0"/>
    <n v="0"/>
    <n v="0"/>
    <n v="0"/>
    <n v="33.7"/>
    <n v="0"/>
    <n v="0"/>
    <n v="27.2769321"/>
    <n v="0"/>
    <n v="0"/>
    <n v="0"/>
    <x v="0"/>
    <x v="1"/>
    <x v="0"/>
    <x v="2"/>
    <x v="0"/>
  </r>
  <r>
    <x v="31"/>
    <x v="5"/>
    <x v="2"/>
    <x v="4"/>
    <d v="2025-07-01T00:00:00"/>
    <n v="5"/>
    <n v="2750"/>
    <n v="22.03"/>
    <n v="12.86"/>
    <n v="259.8"/>
    <n v="63.3"/>
    <n v="6"/>
    <n v="3"/>
    <n v="344"/>
    <n v="1"/>
    <n v="0"/>
    <n v="0"/>
    <n v="0"/>
    <n v="1"/>
    <n v="43.3"/>
    <n v="0.3636363636"/>
    <n v="0"/>
    <n v="43.28578919"/>
    <n v="0"/>
    <n v="0"/>
    <n v="0"/>
    <x v="0"/>
    <x v="3"/>
    <x v="1"/>
    <x v="2"/>
    <x v="1"/>
  </r>
  <r>
    <x v="1"/>
    <x v="5"/>
    <x v="2"/>
    <x v="0"/>
    <d v="2024-01-15T00:00:00"/>
    <n v="1"/>
    <n v="7222"/>
    <n v="8.359999999999999"/>
    <n v="5.37"/>
    <n v="1028.3"/>
    <n v="36"/>
    <n v="34"/>
    <n v="8"/>
    <n v="1162"/>
    <n v="5"/>
    <n v="3"/>
    <n v="2"/>
    <n v="0"/>
    <n v="10"/>
    <n v="30.24411765"/>
    <n v="1.384657989"/>
    <n v="2"/>
    <n v="62.29434861"/>
    <n v="0"/>
    <n v="1"/>
    <n v="1"/>
    <x v="0"/>
    <x v="0"/>
    <x v="3"/>
    <x v="0"/>
    <x v="3"/>
  </r>
  <r>
    <x v="1"/>
    <x v="5"/>
    <x v="2"/>
    <x v="1"/>
    <d v="2024-05-20T00:00:00"/>
    <n v="2"/>
    <n v="7222"/>
    <n v="16.09"/>
    <n v="10.565"/>
    <n v="476.5"/>
    <n v="32"/>
    <n v="23"/>
    <n v="6"/>
    <n v="720"/>
    <n v="1"/>
    <n v="2"/>
    <n v="3"/>
    <n v="0"/>
    <n v="6"/>
    <n v="20.7173913"/>
    <n v="0.8307947937"/>
    <n v="3"/>
    <n v="57.19444963"/>
    <n v="10"/>
    <n v="1"/>
    <n v="1"/>
    <x v="0"/>
    <x v="2"/>
    <x v="3"/>
    <x v="0"/>
    <x v="2"/>
  </r>
  <r>
    <x v="1"/>
    <x v="5"/>
    <x v="2"/>
    <x v="2"/>
    <d v="2024-09-10T00:00:00"/>
    <n v="3"/>
    <n v="7222"/>
    <n v="10.43"/>
    <n v="10.63"/>
    <n v="1134.9"/>
    <n v="30.1"/>
    <n v="37"/>
    <n v="6"/>
    <n v="1523"/>
    <n v="4"/>
    <n v="1"/>
    <n v="1"/>
    <n v="0"/>
    <n v="6"/>
    <n v="30.67297297"/>
    <n v="0.8307947937"/>
    <n v="1"/>
    <n v="70.10504954"/>
    <n v="6"/>
    <n v="1"/>
    <n v="1"/>
    <x v="0"/>
    <x v="0"/>
    <x v="3"/>
    <x v="0"/>
    <x v="2"/>
  </r>
  <r>
    <x v="1"/>
    <x v="5"/>
    <x v="2"/>
    <x v="3"/>
    <d v="2025-02-18T00:00:00"/>
    <n v="4"/>
    <n v="7222"/>
    <n v="14.96"/>
    <n v="10.5"/>
    <n v="810.85"/>
    <n v="32.2"/>
    <n v="7"/>
    <n v="2"/>
    <n v="439"/>
    <n v="1"/>
    <n v="1"/>
    <n v="0"/>
    <n v="1"/>
    <n v="3"/>
    <n v="115.8357143"/>
    <n v="0.4153973968"/>
    <n v="1"/>
    <n v="65.07123278"/>
    <n v="6"/>
    <n v="1"/>
    <n v="1"/>
    <x v="0"/>
    <x v="1"/>
    <x v="3"/>
    <x v="0"/>
    <x v="0"/>
  </r>
  <r>
    <x v="1"/>
    <x v="5"/>
    <x v="2"/>
    <x v="4"/>
    <d v="2025-07-01T00:00:00"/>
    <n v="5"/>
    <n v="7222"/>
    <n v="13.31"/>
    <n v="13.23"/>
    <n v="593.4"/>
    <n v="35.4"/>
    <n v="16"/>
    <n v="4"/>
    <n v="846"/>
    <n v="0"/>
    <n v="0"/>
    <n v="0"/>
    <n v="0"/>
    <n v="0"/>
    <n v="37.0875"/>
    <n v="0"/>
    <n v="0"/>
    <n v="55.8981807"/>
    <n v="3"/>
    <n v="1"/>
    <n v="0"/>
    <x v="0"/>
    <x v="1"/>
    <x v="3"/>
    <x v="0"/>
    <x v="1"/>
  </r>
  <r>
    <x v="21"/>
    <x v="5"/>
    <x v="2"/>
    <x v="0"/>
    <d v="2024-01-15T00:00:00"/>
    <n v="1"/>
    <n v="1565"/>
    <n v="15.18"/>
    <n v="14.84"/>
    <n v="434.4"/>
    <n v="49.4"/>
    <n v="12"/>
    <n v="4"/>
    <n v="641"/>
    <n v="0"/>
    <n v="2"/>
    <n v="1"/>
    <n v="0"/>
    <n v="3"/>
    <n v="36.2"/>
    <n v="1.916932907"/>
    <n v="1"/>
    <n v="47.13974158"/>
    <n v="0"/>
    <n v="0"/>
    <n v="1"/>
    <x v="0"/>
    <x v="2"/>
    <x v="3"/>
    <x v="1"/>
    <x v="1"/>
  </r>
  <r>
    <x v="21"/>
    <x v="5"/>
    <x v="2"/>
    <x v="1"/>
    <d v="2024-05-20T00:00:00"/>
    <n v="2"/>
    <n v="1565"/>
    <n v="12.36"/>
    <n v="9.67"/>
    <n v="38.3"/>
    <n v="56.6"/>
    <n v="1"/>
    <n v="1"/>
    <n v="58"/>
    <n v="0"/>
    <n v="0"/>
    <n v="0"/>
    <n v="0"/>
    <n v="0"/>
    <n v="38.3"/>
    <n v="0"/>
    <n v="0"/>
    <n v="30.00225344"/>
    <n v="3"/>
    <n v="0"/>
    <n v="0"/>
    <x v="0"/>
    <x v="1"/>
    <x v="0"/>
    <x v="1"/>
    <x v="0"/>
  </r>
  <r>
    <x v="21"/>
    <x v="5"/>
    <x v="2"/>
    <x v="2"/>
    <d v="2024-09-10T00:00:00"/>
    <n v="3"/>
    <n v="1565"/>
    <n v="6.92"/>
    <n v="6.42"/>
    <n v="102.3"/>
    <n v="48"/>
    <n v="4"/>
    <n v="2"/>
    <n v="175"/>
    <n v="0"/>
    <n v="0"/>
    <n v="0"/>
    <n v="0"/>
    <n v="0"/>
    <n v="25.575"/>
    <n v="0"/>
    <n v="0"/>
    <n v="29.90369404"/>
    <n v="0"/>
    <n v="0"/>
    <n v="0"/>
    <x v="0"/>
    <x v="0"/>
    <x v="0"/>
    <x v="1"/>
    <x v="0"/>
  </r>
  <r>
    <x v="21"/>
    <x v="5"/>
    <x v="2"/>
    <x v="3"/>
    <d v="2025-02-18T00:00:00"/>
    <n v="4"/>
    <n v="1565"/>
    <n v="16.38"/>
    <n v="8.4"/>
    <n v="532"/>
    <n v="48.7"/>
    <n v="20"/>
    <n v="5"/>
    <n v="600"/>
    <n v="1"/>
    <n v="0"/>
    <n v="1"/>
    <n v="0"/>
    <n v="2"/>
    <n v="26.6"/>
    <n v="1.277955272"/>
    <n v="1"/>
    <n v="51.40892319"/>
    <n v="0"/>
    <n v="0"/>
    <n v="0"/>
    <x v="0"/>
    <x v="2"/>
    <x v="3"/>
    <x v="1"/>
    <x v="2"/>
  </r>
  <r>
    <x v="21"/>
    <x v="5"/>
    <x v="2"/>
    <x v="4"/>
    <d v="2025-07-01T00:00:00"/>
    <n v="5"/>
    <n v="1565"/>
    <n v="14.88"/>
    <n v="12.18"/>
    <n v="49.4"/>
    <n v="57.3"/>
    <n v="1"/>
    <n v="1"/>
    <n v="87"/>
    <n v="0"/>
    <n v="0"/>
    <n v="0"/>
    <n v="0"/>
    <n v="0"/>
    <n v="49.4"/>
    <n v="0"/>
    <n v="0"/>
    <n v="32.66256663"/>
    <n v="2"/>
    <n v="0"/>
    <n v="0"/>
    <x v="0"/>
    <x v="1"/>
    <x v="0"/>
    <x v="1"/>
    <x v="0"/>
  </r>
  <r>
    <x v="15"/>
    <x v="5"/>
    <x v="2"/>
    <x v="0"/>
    <d v="2024-01-15T00:00:00"/>
    <n v="1"/>
    <n v="2587"/>
    <n v="9.77"/>
    <n v="6.68"/>
    <n v="980.4"/>
    <n v="47.4"/>
    <n v="51"/>
    <n v="8"/>
    <n v="1412"/>
    <n v="0"/>
    <n v="1"/>
    <n v="2"/>
    <n v="1"/>
    <n v="4"/>
    <n v="19.22352941"/>
    <n v="1.546192501"/>
    <n v="3"/>
    <n v="57.27943321"/>
    <n v="0"/>
    <n v="0"/>
    <n v="1"/>
    <x v="0"/>
    <x v="0"/>
    <x v="3"/>
    <x v="1"/>
    <x v="3"/>
  </r>
  <r>
    <x v="15"/>
    <x v="5"/>
    <x v="2"/>
    <x v="1"/>
    <d v="2024-05-20T00:00:00"/>
    <n v="2"/>
    <n v="2587"/>
    <n v="13.17"/>
    <n v="10.66"/>
    <n v="340.9"/>
    <n v="55"/>
    <n v="10"/>
    <n v="2"/>
    <n v="375"/>
    <n v="0"/>
    <n v="0"/>
    <n v="0"/>
    <n v="0"/>
    <n v="0"/>
    <n v="34.09"/>
    <n v="0"/>
    <n v="0"/>
    <n v="39.88872331"/>
    <n v="4"/>
    <n v="0"/>
    <n v="0"/>
    <x v="0"/>
    <x v="1"/>
    <x v="2"/>
    <x v="1"/>
    <x v="0"/>
  </r>
  <r>
    <x v="15"/>
    <x v="5"/>
    <x v="2"/>
    <x v="2"/>
    <d v="2024-09-10T00:00:00"/>
    <n v="3"/>
    <n v="2587"/>
    <n v="11.975"/>
    <n v="10.03"/>
    <n v="384"/>
    <n v="59.1"/>
    <n v="13"/>
    <n v="5"/>
    <n v="438"/>
    <n v="0"/>
    <n v="0"/>
    <n v="0"/>
    <n v="0"/>
    <n v="0"/>
    <n v="29.53846154"/>
    <n v="0"/>
    <n v="0"/>
    <n v="37.93232163"/>
    <n v="0"/>
    <n v="0"/>
    <n v="0"/>
    <x v="1"/>
    <x v="1"/>
    <x v="2"/>
    <x v="1"/>
    <x v="2"/>
  </r>
  <r>
    <x v="15"/>
    <x v="5"/>
    <x v="2"/>
    <x v="3"/>
    <d v="2025-02-18T00:00:00"/>
    <n v="4"/>
    <n v="2587"/>
    <n v="18.61"/>
    <n v="9.92"/>
    <n v="128.3"/>
    <n v="43.6"/>
    <n v="5"/>
    <n v="2"/>
    <n v="156"/>
    <n v="0"/>
    <n v="0"/>
    <n v="0"/>
    <n v="0"/>
    <n v="0"/>
    <n v="25.66"/>
    <n v="0"/>
    <n v="0"/>
    <n v="45.03273962"/>
    <n v="0"/>
    <n v="0"/>
    <n v="0"/>
    <x v="0"/>
    <x v="2"/>
    <x v="0"/>
    <x v="1"/>
    <x v="0"/>
  </r>
  <r>
    <x v="15"/>
    <x v="5"/>
    <x v="2"/>
    <x v="4"/>
    <d v="2025-07-01T00:00:00"/>
    <n v="5"/>
    <n v="2587"/>
    <n v="10.78"/>
    <n v="7.5"/>
    <n v="153.4"/>
    <n v="63.6"/>
    <n v="6"/>
    <n v="3"/>
    <n v="190"/>
    <n v="0"/>
    <n v="1"/>
    <n v="1"/>
    <n v="0"/>
    <n v="2"/>
    <n v="25.56666667"/>
    <n v="0.7730962505"/>
    <n v="1"/>
    <n v="28.28892871"/>
    <n v="0"/>
    <n v="0"/>
    <n v="0"/>
    <x v="0"/>
    <x v="1"/>
    <x v="0"/>
    <x v="2"/>
    <x v="1"/>
  </r>
  <r>
    <x v="2"/>
    <x v="5"/>
    <x v="2"/>
    <x v="0"/>
    <d v="2024-01-15T00:00:00"/>
    <n v="1"/>
    <n v="2559"/>
    <n v="32.82"/>
    <n v="21.25"/>
    <n v="927.1"/>
    <n v="59.5"/>
    <n v="28"/>
    <n v="5"/>
    <n v="1530"/>
    <n v="2"/>
    <n v="4"/>
    <n v="2"/>
    <n v="2"/>
    <n v="10"/>
    <n v="33.11071429"/>
    <n v="3.907776475"/>
    <n v="4"/>
    <n v="74.76965668"/>
    <n v="0"/>
    <n v="1"/>
    <n v="1"/>
    <x v="0"/>
    <x v="3"/>
    <x v="3"/>
    <x v="1"/>
    <x v="2"/>
  </r>
  <r>
    <x v="2"/>
    <x v="5"/>
    <x v="2"/>
    <x v="1"/>
    <d v="2024-05-20T00:00:00"/>
    <n v="2"/>
    <n v="2559"/>
    <n v="28.81"/>
    <n v="20.895"/>
    <n v="218.8"/>
    <n v="56"/>
    <n v="7"/>
    <n v="3"/>
    <n v="246"/>
    <n v="1"/>
    <n v="1"/>
    <n v="0"/>
    <n v="0"/>
    <n v="2"/>
    <n v="31.25714286"/>
    <n v="0.781555295"/>
    <n v="0"/>
    <n v="52.68783393"/>
    <n v="10"/>
    <n v="1"/>
    <n v="0"/>
    <x v="0"/>
    <x v="3"/>
    <x v="1"/>
    <x v="1"/>
    <x v="1"/>
  </r>
  <r>
    <x v="2"/>
    <x v="5"/>
    <x v="2"/>
    <x v="2"/>
    <d v="2024-09-10T00:00:00"/>
    <n v="3"/>
    <n v="2559"/>
    <n v="31.365"/>
    <n v="12.93"/>
    <n v="237.4"/>
    <n v="51.8"/>
    <n v="11"/>
    <n v="3"/>
    <n v="383"/>
    <n v="1"/>
    <n v="0"/>
    <n v="1"/>
    <n v="0"/>
    <n v="2"/>
    <n v="21.58181818"/>
    <n v="0.781555295"/>
    <n v="1"/>
    <n v="57.82532708"/>
    <n v="2"/>
    <n v="1"/>
    <n v="0"/>
    <x v="0"/>
    <x v="3"/>
    <x v="1"/>
    <x v="1"/>
    <x v="1"/>
  </r>
  <r>
    <x v="2"/>
    <x v="5"/>
    <x v="2"/>
    <x v="3"/>
    <d v="2025-02-18T00:00:00"/>
    <n v="4"/>
    <n v="2559"/>
    <n v="29.91"/>
    <n v="20.9"/>
    <n v="50.1"/>
    <n v="52.7"/>
    <n v="1"/>
    <n v="1"/>
    <n v="58"/>
    <n v="0"/>
    <n v="0"/>
    <n v="0"/>
    <n v="0"/>
    <n v="0"/>
    <n v="50.1"/>
    <n v="0"/>
    <n v="0"/>
    <n v="50.7347572"/>
    <n v="2"/>
    <n v="1"/>
    <n v="0"/>
    <x v="0"/>
    <x v="3"/>
    <x v="0"/>
    <x v="1"/>
    <x v="0"/>
  </r>
  <r>
    <x v="2"/>
    <x v="5"/>
    <x v="2"/>
    <x v="4"/>
    <d v="2025-07-01T00:00:00"/>
    <n v="5"/>
    <n v="2559"/>
    <n v="32.95"/>
    <n v="20.89"/>
    <n v="529"/>
    <n v="57.6"/>
    <n v="16"/>
    <n v="4"/>
    <n v="727"/>
    <n v="2"/>
    <n v="2"/>
    <n v="0"/>
    <n v="1"/>
    <n v="5"/>
    <n v="33.0625"/>
    <n v="1.953888238"/>
    <n v="1"/>
    <n v="64.85853207"/>
    <n v="0"/>
    <n v="1"/>
    <n v="1"/>
    <x v="0"/>
    <x v="3"/>
    <x v="3"/>
    <x v="1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Defects_by_Module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4:B52" firstHeaderRow="1" firstDataRow="1" firstDataCol="1"/>
  <pivotFields count="31">
    <pivotField axis="axisRow" showDropDowns="1" compact="1" outline="1" subtotalTop="1" dragToRow="1" dragToCol="1" dragToPage="1" dragToData="1" dragOff="1" showAll="0" topAutoShow="1" itemPageCount="10" sortType="descending" defaultSubtotal="1">
      <items count="4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4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grand" r="0" i="0">
      <x v="0"/>
    </i>
  </rowItems>
  <colItems count="1">
    <i t="data" r="0" i="0"/>
  </colItems>
  <dataFields count="1">
    <dataField name="Sum of total_defects" fld="18" subtotal="sum" showDataAs="normal" baseField="0" baseItem="0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Component_by_Release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D29:K36" firstHeaderRow="1" firstDataRow="2" firstDataCol="1"/>
  <pivotFields count="31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7"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1"/>
  </colFields>
  <col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colItems>
  <dataFields count="1">
    <dataField name="Sum of total_defects" fld="18" subtotal="sum" showDataAs="normal" baseField="0" baseItem="0"/>
  </dataFields>
  <pivotTableStyleInfo name="PivotStyleMedium2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Complexity_Band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D47:E52" firstHeaderRow="1" firstDataRow="1" firstDataCol="1"/>
  <pivotFields count="3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7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Average of total_defects" fld="18" subtotal="average" showDataAs="normal" baseField="0" baseItem="0" numFmtId="2"/>
  </dataFields>
  <pivotTableStyleInfo name="PivotStyleMedium2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Churn_Band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D65:E70" firstHeaderRow="1" firstDataRow="1" firstDataCol="1"/>
  <pivotFields count="3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8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Average of total_defects" fld="18" subtotal="average" showDataAs="normal" baseField="0" baseItem="0" numFmtId="2"/>
  </dataFields>
  <pivotTableStyleInfo name="PivotStyleMedium2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T_Coverage_Band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D83:E88" firstHeaderRow="1" firstDataRow="1" firstDataCol="1"/>
  <pivotFields count="3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9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Average of total_defects" fld="18" subtotal="average" showDataAs="normal" baseField="0" baseItem="0" numFmtId="2"/>
  </dataFields>
  <pivotTableStyleInfo name="PivotStyleMedium2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T_Contributor_Group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D101:F106" firstHeaderRow="0" firstDataRow="1" firstDataCol="1"/>
  <pivotFields count="31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</pivotFields>
  <rowFields count="1">
    <field x="30"/>
  </rowFields>
  <row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Average of total_defects" fld="18" subtotal="average" showDataAs="normal" baseField="0" baseItem="0" numFmtId="2"/>
    <dataField name="Count of module" fld="0" subtotal="count" showDataAs="normal" baseField="0" baseItem="0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90" customWidth="1" min="2" max="2"/>
    <col width="20" customWidth="1" min="3" max="3"/>
    <col width="20" customWidth="1" min="4" max="4"/>
    <col width="20" customWidth="1" min="5" max="5"/>
    <col width="26" customWidth="1" min="6" max="6"/>
  </cols>
  <sheetData>
    <row r="1">
      <c r="A1" s="1" t="inlineStr">
        <is>
          <t>CH28 Software Quality Insight: Summary of results</t>
        </is>
      </c>
    </row>
    <row r="2">
      <c r="A2" s="2" t="inlineStr">
        <is>
          <t>Business question: which software metrics are associated with modules that have more defects?  Data: synthetic (Python, seed 42). Every number below is a formula.</t>
        </is>
      </c>
    </row>
    <row r="4">
      <c r="A4" s="3" t="inlineStr">
        <is>
          <t>Key figures</t>
        </is>
      </c>
    </row>
    <row r="5">
      <c r="A5" s="4" t="inlineStr">
        <is>
          <t>Modules analysed</t>
        </is>
      </c>
      <c r="B5" s="5">
        <f>COUNTA(Modules!$A$2:$A$48)</f>
        <v>47</v>
      </c>
    </row>
    <row r="6">
      <c r="A6" s="4" t="inlineStr">
        <is>
          <t>Module-release rows</t>
        </is>
      </c>
      <c r="B6" s="5">
        <f>COUNTA(Data!$A$2:$A$236)</f>
        <v>235</v>
      </c>
    </row>
    <row r="7">
      <c r="A7" s="4" t="inlineStr">
        <is>
          <t>Total defects</t>
        </is>
      </c>
      <c r="B7" s="5">
        <f>SUM(Data!$S$2:$S$236)</f>
        <v>285</v>
      </c>
    </row>
    <row r="8">
      <c r="A8" s="4" t="inlineStr">
        <is>
          <t>Average defects per module-release</t>
        </is>
      </c>
      <c r="B8" s="6">
        <f>AVERAGE(Data!$S$2:$S$236)</f>
        <v>1.21276595744681</v>
      </c>
    </row>
    <row r="9">
      <c r="A9" s="4" t="inlineStr">
        <is>
          <t>Repeat-defect modules (defects in 4+ of 5 releases)</t>
        </is>
      </c>
      <c r="B9" s="5">
        <f>SUM(Modules!$L$2:$L$48)</f>
        <v>16</v>
      </c>
    </row>
    <row r="10">
      <c r="A10" s="4" t="inlineStr">
        <is>
          <t>High-churn threshold (75th percentile, changed lines)</t>
        </is>
      </c>
      <c r="B10" s="5">
        <f>Churn!C13</f>
        <v>397.35</v>
      </c>
    </row>
    <row r="12">
      <c r="A12" s="3" t="inlineStr">
        <is>
          <t>Findings by business question</t>
        </is>
      </c>
    </row>
    <row r="13" ht="22" customHeight="1">
      <c r="A13" s="7" t="inlineStr">
        <is>
          <t>Question</t>
        </is>
      </c>
      <c r="B13" s="7" t="inlineStr">
        <is>
          <t>Key result</t>
        </is>
      </c>
      <c r="C13" s="7" t="inlineStr">
        <is>
          <t>Detail sheet</t>
        </is>
      </c>
    </row>
    <row r="14" ht="58" customHeight="1">
      <c r="A14" s="8" t="inlineStr">
        <is>
          <t>Q1 Which modules have more defects?</t>
        </is>
      </c>
      <c r="B14" s="9" t="str">
        <f>"The top 10 of "&amp;B5&amp;" modules hold "&amp;TEXT(Defects_by_Module!E15,"0.0%")&amp;" of all "&amp;B7&amp;" defects. By component, "&amp;INDEX(Defects_by_Module!$A$20:$A$25,MATCH(MAX(Defects_by_Module!$C$20:$C$25),Defects_by_Module!$C$20:$C$25,0))&amp;" has the most ("&amp;MAX(Defects_by_Module!$C$20:$C$25)&amp;") and "&amp;INDEX(Defects_by_Module!$A$20:$A$25,MATCH(MIN(Defects_by_Module!$C$20:$C$25),Defects_by_Module!$C$20:$C$25,0))&amp;" the fewest ("&amp;MIN(Defects_by_Module!$C$20:$C$25)&amp;")."</f>
        <v>The top 10 of 47 modules hold 58.2% of all 285 defects. By component, UI has the most (70) and Auth the fewest (31).</v>
      </c>
      <c r="C14" s="10" t="inlineStr">
        <is>
          <t>Defects_by_Module</t>
        </is>
      </c>
    </row>
    <row r="15" ht="58" customHeight="1">
      <c r="A15" s="8" t="inlineStr">
        <is>
          <t>Q2 How does complexity relate to defects?</t>
        </is>
      </c>
      <c r="B15" s="9" t="str">
        <f>"Correlation "&amp;TEXT(Complexity!B5,"0.00")&amp;". Defects stay low in the lower half and rise in the top quartile: "&amp;TEXT(Complexity!E14,"0.00")&amp;" defects per release vs "&amp;TEXT(Complexity!E11,"0.00")&amp;" in the lowest quartile ("&amp;TEXT(Complexity!E16,"0.0")&amp;" times)."</f>
        <v>Correlation 0.35. Defects stay low in the lower half and rise in the top quartile: 2.27 defects per release vs 0.76 in the lowest quartile (3.0 times).</v>
      </c>
      <c r="C15" s="10" t="inlineStr">
        <is>
          <t>Complexity</t>
        </is>
      </c>
    </row>
    <row r="16" ht="58" customHeight="1">
      <c r="A16" s="8" t="inlineStr">
        <is>
          <t>Q3 Does code churn relate to quality?</t>
        </is>
      </c>
      <c r="B16" s="9" t="str">
        <f>"Yes, it is the strongest metric: correlation "&amp;TEXT(Churn!B5,"0.00")&amp;". The highest-churn quartile averages "&amp;TEXT(Churn!E14,"0.00")&amp;" defects per release vs "&amp;TEXT(Churn!E11,"0.00")&amp;" in the lowest ("&amp;TEXT(Churn!E16,"0.0")&amp;" times)."</f>
        <v>Yes, it is the strongest metric: correlation 0.65. The highest-churn quartile averages 2.73 defects per release vs 0.47 in the lowest (5.8 times).</v>
      </c>
      <c r="C16" s="10" t="inlineStr">
        <is>
          <t>Churn</t>
        </is>
      </c>
    </row>
    <row r="17" ht="58" customHeight="1">
      <c r="A17" s="8" t="inlineStr">
        <is>
          <t>Q4 How does test coverage differ?</t>
        </is>
      </c>
      <c r="B17" s="9" t="str">
        <f>"Correlation "&amp;TEXT(Coverage!B4,"0.00")&amp;". Rows with coverage up to 40% average "&amp;TEXT(Coverage!E11,"0.00")&amp;" defects vs "&amp;TEXT(Coverage!E14,"0.00")&amp;" above 80%. The top-10 defect modules average "&amp;TEXT(Coverage!B29,"0.0")&amp;"% coverage vs "&amp;TEXT(Coverage!B30,"0.0")&amp;"% for the rest."</f>
        <v>Correlation -0.39. Rows with coverage up to 40% average 3.68 defects vs 0.62 above 80%. The top-10 defect modules average 49.2% coverage vs 67.2% for the rest.</v>
      </c>
      <c r="C17" s="10" t="inlineStr">
        <is>
          <t>Coverage</t>
        </is>
      </c>
    </row>
    <row r="18" ht="58" customHeight="1">
      <c r="A18" s="8" t="inlineStr">
        <is>
          <t>Q5 Which components show repeated defects?</t>
        </is>
      </c>
      <c r="B18" s="9" t="str">
        <f>Component_Trend!C23&amp;" of "&amp;Component_Trend!B23&amp;" modules had defects in 4 or more of 5 releases; "&amp;INDEX(Component_Trend!$A$17:$A$22,MATCH(MAX(Component_Trend!$C$17:$C$22),Component_Trend!$C$17:$C$22,0))&amp;" has the most ("&amp;MAX(Component_Trend!C17:C22)&amp;"). Total defects fell from "&amp;Component_Trend!B11&amp;" in v1.0 to "&amp;Component_Trend!E11&amp;" in v2.1, then rose to "&amp;Component_Trend!F11&amp;" in v3.0."</f>
        <v>16 of 47 modules had defects in 4 or more of 5 releases; UI has the most (4). Total defects fell from 88 in v1.0 to 37 in v2.1, then rose to 57 in v3.0.</v>
      </c>
      <c r="C18" s="10" t="inlineStr">
        <is>
          <t>Component_Trend</t>
        </is>
      </c>
    </row>
    <row r="19" ht="58" customHeight="1">
      <c r="A19" s="8" t="inlineStr">
        <is>
          <t>Q6 Does contributor count relate to defect frequency?</t>
        </is>
      </c>
      <c r="B19" s="9" t="str">
        <f>"Defects rise with contributors (correlation "&amp;TEXT(Contributors!B4,"0.00")&amp;"), but contributors track activity: correlation with commits "&amp;TEXT(Contributors!B6,"0.00")&amp;" and with churn "&amp;TEXT(Contributors!B7,"0.00")&amp;". Churn alone is a stronger signal ("&amp;TEXT(Contributors!B8,"0.00")&amp;")."</f>
        <v>Defects rise with contributors (correlation 0.51), but contributors track activity: correlation with commits 0.88 and with churn 0.79. Churn alone is a stronger signal (0.65).</v>
      </c>
      <c r="C19" s="10" t="inlineStr">
        <is>
          <t>Contributors</t>
        </is>
      </c>
    </row>
    <row r="20">
      <c r="A20" s="2" t="inlineStr">
        <is>
          <t>Pivot Tables and Pivot Charts: see the Pivots sheet (six pivot tables with six pivot charts).</t>
        </is>
      </c>
    </row>
    <row r="22">
      <c r="A22" s="3" t="inlineStr">
        <is>
          <t>Priority tiers (from the risk model and repeat-defect history)</t>
        </is>
      </c>
    </row>
    <row r="23">
      <c r="A23" s="7" t="inlineStr">
        <is>
          <t>Tier</t>
        </is>
      </c>
      <c r="B23" s="7" t="inlineStr">
        <is>
          <t>Modules</t>
        </is>
      </c>
    </row>
    <row r="24">
      <c r="A24" s="4" t="inlineStr">
        <is>
          <t>Tier 1: fix first</t>
        </is>
      </c>
      <c r="B24" s="4">
        <f>COUNTIF(Priority_List!$M$5:$M$51,A24)</f>
        <v>11</v>
      </c>
    </row>
    <row r="25">
      <c r="A25" s="4" t="inlineStr">
        <is>
          <t>Tier 2: watch closely</t>
        </is>
      </c>
      <c r="B25" s="4">
        <f>COUNTIF(Priority_List!$M$5:$M$51,A25)</f>
        <v>13</v>
      </c>
    </row>
    <row r="26">
      <c r="A26" s="4" t="inlineStr">
        <is>
          <t>Tier 3: monitor</t>
        </is>
      </c>
      <c r="B26" s="4">
        <f>COUNTIF(Priority_List!$M$5:$M$51,A26)</f>
        <v>23</v>
      </c>
    </row>
    <row r="28">
      <c r="A28" s="3" t="inlineStr">
        <is>
          <t>Tier 1 modules: review and test these first</t>
        </is>
      </c>
    </row>
    <row r="29" ht="30" customHeight="1">
      <c r="A29" s="7" t="inlineStr">
        <is>
          <t>Module</t>
        </is>
      </c>
      <c r="B29" s="7" t="inlineStr">
        <is>
          <t>Component</t>
        </is>
      </c>
      <c r="C29" s="7" t="inlineStr">
        <is>
          <t>Releases with defects</t>
        </is>
      </c>
      <c r="D29" s="7" t="inlineStr">
        <is>
          <t>Avg churn / v3.0 churn</t>
        </is>
      </c>
      <c r="E29" s="7" t="inlineStr">
        <is>
          <t>Test coverage v3.0 (%)</t>
        </is>
      </c>
      <c r="F29" s="7" t="inlineStr">
        <is>
          <t>Recommended action</t>
        </is>
      </c>
    </row>
    <row r="30">
      <c r="A30" s="4" t="str">
        <f>Priority_List!A5</f>
        <v>payments_fraud</v>
      </c>
      <c r="B30" s="4" t="str">
        <f>Priority_List!B5</f>
        <v>Payments</v>
      </c>
      <c r="C30" s="4">
        <f>Priority_List!E5</f>
        <v>4</v>
      </c>
      <c r="D30" s="11">
        <f>Priority_List!F5</f>
        <v>454.2</v>
      </c>
      <c r="E30" s="29">
        <f>Priority_List!H5</f>
        <v>30.7</v>
      </c>
      <c r="F30" s="4" t="str">
        <f>Priority_List!I5</f>
        <v>Code review + more tests</v>
      </c>
    </row>
    <row r="31">
      <c r="A31" s="4" t="str">
        <f>Priority_List!A6</f>
        <v>ui_themes</v>
      </c>
      <c r="B31" s="4" t="str">
        <f>Priority_List!B6</f>
        <v>UI</v>
      </c>
      <c r="C31" s="4">
        <f>Priority_List!E6</f>
        <v>4</v>
      </c>
      <c r="D31" s="11">
        <f>Priority_List!F6</f>
        <v>529</v>
      </c>
      <c r="E31" s="29">
        <f>Priority_List!H6</f>
        <v>57.6</v>
      </c>
      <c r="F31" s="4" t="str">
        <f>Priority_List!I6</f>
        <v>Code review + more tests</v>
      </c>
    </row>
    <row r="32">
      <c r="A32" s="4" t="str">
        <f>Priority_List!A7</f>
        <v>reporting_audit_logs</v>
      </c>
      <c r="B32" s="4" t="str">
        <f>Priority_List!B7</f>
        <v>Reporting</v>
      </c>
      <c r="C32" s="4">
        <f>Priority_List!E7</f>
        <v>5</v>
      </c>
      <c r="D32" s="11">
        <f>Priority_List!F7</f>
        <v>773.4</v>
      </c>
      <c r="E32" s="29">
        <f>Priority_List!H7</f>
        <v>62.4</v>
      </c>
      <c r="F32" s="4" t="str">
        <f>Priority_List!I7</f>
        <v>Priority code review</v>
      </c>
    </row>
    <row r="33">
      <c r="A33" s="4" t="str">
        <f>Priority_List!A8</f>
        <v>reporting_scheduler</v>
      </c>
      <c r="B33" s="4" t="str">
        <f>Priority_List!B8</f>
        <v>Reporting</v>
      </c>
      <c r="C33" s="4">
        <f>Priority_List!E8</f>
        <v>5</v>
      </c>
      <c r="D33" s="11">
        <f>Priority_List!F8</f>
        <v>262.5</v>
      </c>
      <c r="E33" s="29">
        <f>Priority_List!H8</f>
        <v>41.05</v>
      </c>
      <c r="F33" s="4" t="str">
        <f>Priority_List!I8</f>
        <v>Add tests</v>
      </c>
    </row>
    <row r="34">
      <c r="A34" s="4" t="str">
        <f>Priority_List!A9</f>
        <v>api_gateway</v>
      </c>
      <c r="B34" s="4" t="str">
        <f>Priority_List!B9</f>
        <v>API</v>
      </c>
      <c r="C34" s="4">
        <f>Priority_List!E9</f>
        <v>5</v>
      </c>
      <c r="D34" s="11">
        <f>Priority_List!F9</f>
        <v>455.5</v>
      </c>
      <c r="E34" s="29">
        <f>Priority_List!H9</f>
        <v>41.1</v>
      </c>
      <c r="F34" s="4" t="str">
        <f>Priority_List!I9</f>
        <v>Code review + more tests</v>
      </c>
    </row>
    <row r="35">
      <c r="A35" s="4" t="str">
        <f>Priority_List!A10</f>
        <v>api_webhooks</v>
      </c>
      <c r="B35" s="4" t="str">
        <f>Priority_List!B10</f>
        <v>API</v>
      </c>
      <c r="C35" s="4">
        <f>Priority_List!E10</f>
        <v>4</v>
      </c>
      <c r="D35" s="11">
        <f>Priority_List!F10</f>
        <v>100.2</v>
      </c>
      <c r="E35" s="29">
        <f>Priority_List!H10</f>
        <v>29.5</v>
      </c>
      <c r="F35" s="4" t="str">
        <f>Priority_List!I10</f>
        <v>Add tests</v>
      </c>
    </row>
    <row r="36">
      <c r="A36" s="4" t="str">
        <f>Priority_List!A11</f>
        <v>reporting_export</v>
      </c>
      <c r="B36" s="4" t="str">
        <f>Priority_List!B11</f>
        <v>Reporting</v>
      </c>
      <c r="C36" s="4">
        <f>Priority_List!E11</f>
        <v>4</v>
      </c>
      <c r="D36" s="11">
        <f>Priority_List!F11</f>
        <v>399</v>
      </c>
      <c r="E36" s="29">
        <f>Priority_List!H11</f>
        <v>61.8</v>
      </c>
      <c r="F36" s="4" t="str">
        <f>Priority_List!I11</f>
        <v>Priority code review</v>
      </c>
    </row>
    <row r="37">
      <c r="A37" s="4" t="str">
        <f>Priority_List!A12</f>
        <v>ui_notifications</v>
      </c>
      <c r="B37" s="4" t="str">
        <f>Priority_List!B12</f>
        <v>UI</v>
      </c>
      <c r="C37" s="4">
        <f>Priority_List!E12</f>
        <v>4</v>
      </c>
      <c r="D37" s="11">
        <f>Priority_List!F12</f>
        <v>593.4</v>
      </c>
      <c r="E37" s="29">
        <f>Priority_List!H12</f>
        <v>35.4</v>
      </c>
      <c r="F37" s="4" t="str">
        <f>Priority_List!I12</f>
        <v>Code review + more tests</v>
      </c>
    </row>
    <row r="38">
      <c r="A38" s="4" t="str">
        <f>Priority_List!A13</f>
        <v>auth_session</v>
      </c>
      <c r="B38" s="4" t="str">
        <f>Priority_List!B13</f>
        <v>Auth</v>
      </c>
      <c r="C38" s="4">
        <f>Priority_List!E13</f>
        <v>5</v>
      </c>
      <c r="D38" s="11">
        <f>Priority_List!F13</f>
        <v>167.9</v>
      </c>
      <c r="E38" s="29">
        <f>Priority_List!H13</f>
        <v>47.2</v>
      </c>
      <c r="F38" s="4" t="str">
        <f>Priority_List!I13</f>
        <v>Add tests</v>
      </c>
    </row>
    <row r="39">
      <c r="A39" s="4" t="str">
        <f>Priority_List!A14</f>
        <v>ui_charts</v>
      </c>
      <c r="B39" s="4" t="str">
        <f>Priority_List!B14</f>
        <v>UI</v>
      </c>
      <c r="C39" s="4">
        <f>Priority_List!E14</f>
        <v>4</v>
      </c>
      <c r="D39" s="11">
        <f>Priority_List!F14</f>
        <v>214.1</v>
      </c>
      <c r="E39" s="29">
        <f>Priority_List!H14</f>
        <v>58.9</v>
      </c>
      <c r="F39" s="4" t="str">
        <f>Priority_List!I14</f>
        <v>Add tests</v>
      </c>
    </row>
    <row r="40">
      <c r="A40" s="4" t="str">
        <f>Priority_List!A15</f>
        <v>database_migration</v>
      </c>
      <c r="B40" s="4" t="str">
        <f>Priority_List!B15</f>
        <v>Database</v>
      </c>
      <c r="C40" s="4">
        <f>Priority_List!E15</f>
        <v>5</v>
      </c>
      <c r="D40" s="11">
        <f>Priority_List!F15</f>
        <v>150.5</v>
      </c>
      <c r="E40" s="29">
        <f>Priority_List!H15</f>
        <v>54.7</v>
      </c>
      <c r="F40" s="4" t="str">
        <f>Priority_List!I15</f>
        <v>Add tests</v>
      </c>
    </row>
    <row r="42">
      <c r="A42" s="3" t="inlineStr">
        <is>
          <t>Recommendations</t>
        </is>
      </c>
    </row>
    <row r="43" ht="32" customHeight="1">
      <c r="A43" s="13" t="str">
        <f>"1. Put the "&amp;B24&amp;" Tier 1 modules under mandatory code review and raise their test coverage to at least 60% first; coverage below 60% is where defects rise sharply."</f>
        <v>1. Put the 11 Tier 1 modules under mandatory code review and raise their test coverage to at least 60% first; coverage below 60% is where defects rise sharply.</v>
      </c>
    </row>
    <row r="44" ht="32" customHeight="1">
      <c r="A44" s="13" t="str">
        <f>"2. Add a review trigger for churn spikes: any module with more than about "&amp;TEXT(B10,"0")&amp;" changed lines in a release (top quartile) gets a mandatory review, even if coverage looks healthy."</f>
        <v>2. Add a review trigger for churn spikes: any module with more than about 397 changed lines in a release (top quartile) gets a mandatory review, even if coverage looks healthy.</v>
      </c>
    </row>
    <row r="45" ht="32" customHeight="1">
      <c r="A45" s="13" t="str">
        <f>"3. Track the "&amp;B9&amp;" repeat-defect modules each release and watch "&amp;INDEX(Component_Trend!$A$17:$A$22,MATCH(MAX(Component_Trend!$C$17:$C$22),Component_Trend!$C$17:$C$22,0))&amp;" and the v3.0 rebound (total defects "&amp;Component_Trend!E11&amp;" in v2.1 vs "&amp;Component_Trend!F11&amp;" in v3.0)."</f>
        <v>3. Track the 16 repeat-defect modules each release and watch UI and the v3.0 rebound (total defects 37 in v2.1 vs 57 in v3.0).</v>
      </c>
    </row>
    <row r="47">
      <c r="A47" s="3" t="inlineStr">
        <is>
          <t>Model results (imported from the Python notebook, hardcoded)</t>
        </is>
      </c>
    </row>
    <row r="48" ht="30" customHeight="1">
      <c r="A48" s="14" t="inlineStr">
        <is>
          <t>Random Forest Regressor, core 4 features (churn, complexity, coupling, test coverage): test RMSE 1.340, MAE 0.874, R-squared 0.424; module-level cross-validation RMSE 1.305, R-squared 0.351; baseline RMSE 1.810.</t>
        </is>
      </c>
    </row>
    <row r="49" ht="30" customHeight="1">
      <c r="A49" s="14" t="inlineStr">
        <is>
          <t>Random Forest Classifier for high-defect rows (more than 2 defects): ROC-AUC 0.797; at threshold 0.3 precision 0.403, recall 0.750, F1 0.524.</t>
        </is>
      </c>
    </row>
    <row r="50" ht="30" customHeight="1">
      <c r="A50" s="14" t="inlineStr">
        <is>
          <t>Caveats: synthetic data; associations are not proof of cause; model fit is moderate.</t>
        </is>
      </c>
    </row>
  </sheetData>
  <mergeCells count="6">
    <mergeCell ref="A49:F49"/>
    <mergeCell ref="A44:F44"/>
    <mergeCell ref="A45:F45"/>
    <mergeCell ref="A50:F50"/>
    <mergeCell ref="A48:F48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Q1. Which modules have more defects?</t>
        </is>
      </c>
    </row>
    <row r="2">
      <c r="A2" s="2" t="inlineStr">
        <is>
          <t>All values are formulas on the Data and Modules sheets.</t>
        </is>
      </c>
    </row>
    <row r="3">
      <c r="A3" s="3" t="inlineStr">
        <is>
          <t>Top 10 modules by total defects (all releases)</t>
        </is>
      </c>
    </row>
    <row r="4" ht="30" customHeight="1">
      <c r="A4" s="7" t="inlineStr">
        <is>
          <t>Rank</t>
        </is>
      </c>
      <c r="B4" s="7" t="inlineStr">
        <is>
          <t>Module</t>
        </is>
      </c>
      <c r="C4" s="7" t="inlineStr">
        <is>
          <t>Component</t>
        </is>
      </c>
      <c r="D4" s="7" t="inlineStr">
        <is>
          <t>Total defects</t>
        </is>
      </c>
      <c r="E4" s="7" t="inlineStr">
        <is>
          <t>Share of all defects</t>
        </is>
      </c>
      <c r="F4" s="7" t="inlineStr">
        <is>
          <t>Releases with defects</t>
        </is>
      </c>
      <c r="G4" s="7" t="inlineStr">
        <is>
          <t>Avg coverage (%)</t>
        </is>
      </c>
      <c r="H4" s="7" t="inlineStr">
        <is>
          <t>Priority tier</t>
        </is>
      </c>
    </row>
    <row r="5">
      <c r="A5" s="4" t="n">
        <v>1</v>
      </c>
      <c r="B5" s="4" t="str">
        <f>INDEX(Modules!$A$2:$A$48,MATCH($A5,Modules!$M$2:$M$48,0))</f>
        <v>api_gateway</v>
      </c>
      <c r="C5" s="4" t="str">
        <f>INDEX(Modules!$B$2:$B$48,MATCH($A5,Modules!$M$2:$M$48,0))</f>
        <v>API</v>
      </c>
      <c r="D5" s="4">
        <f>INDEX(Modules!$E$2:$E$48,MATCH($A5,Modules!$M$2:$M$48,0))</f>
        <v>29</v>
      </c>
      <c r="E5" s="30">
        <f>D5/SUM(Modules!$E$2:$E$48)</f>
        <v>0.101754385964912</v>
      </c>
      <c r="F5" s="4">
        <f>INDEX(Modules!$J$2:$J$48,MATCH($A5,Modules!$M$2:$M$48,0))</f>
        <v>5</v>
      </c>
      <c r="G5" s="29">
        <f>INDEX(Modules!$H$2:$H$48,MATCH($A5,Modules!$M$2:$M$48,0))</f>
        <v>41.04</v>
      </c>
      <c r="H5" s="4" t="str">
        <f>INDEX(Modules!$N$2:$N$48,MATCH($A5,Modules!$M$2:$M$48,0))</f>
        <v>Tier 1: fix first</v>
      </c>
    </row>
    <row r="6">
      <c r="A6" s="4" t="n">
        <v>2</v>
      </c>
      <c r="B6" s="4" t="str">
        <f>INDEX(Modules!$A$2:$A$48,MATCH($A6,Modules!$M$2:$M$48,0))</f>
        <v>ui_notifications</v>
      </c>
      <c r="C6" s="4" t="str">
        <f>INDEX(Modules!$B$2:$B$48,MATCH($A6,Modules!$M$2:$M$48,0))</f>
        <v>UI</v>
      </c>
      <c r="D6" s="4">
        <f>INDEX(Modules!$E$2:$E$48,MATCH($A6,Modules!$M$2:$M$48,0))</f>
        <v>25</v>
      </c>
      <c r="E6" s="30">
        <f>D6/SUM(Modules!$E$2:$E$48)</f>
        <v>0.087719298245614</v>
      </c>
      <c r="F6" s="4">
        <f>INDEX(Modules!$J$2:$J$48,MATCH($A6,Modules!$M$2:$M$48,0))</f>
        <v>4</v>
      </c>
      <c r="G6" s="29">
        <f>INDEX(Modules!$H$2:$H$48,MATCH($A6,Modules!$M$2:$M$48,0))</f>
        <v>33.14</v>
      </c>
      <c r="H6" s="4" t="str">
        <f>INDEX(Modules!$N$2:$N$48,MATCH($A6,Modules!$M$2:$M$48,0))</f>
        <v>Tier 1: fix first</v>
      </c>
    </row>
    <row r="7">
      <c r="A7" s="4" t="n">
        <v>3</v>
      </c>
      <c r="B7" s="4" t="str">
        <f>INDEX(Modules!$A$2:$A$48,MATCH($A7,Modules!$M$2:$M$48,0))</f>
        <v>ui_themes</v>
      </c>
      <c r="C7" s="4" t="str">
        <f>INDEX(Modules!$B$2:$B$48,MATCH($A7,Modules!$M$2:$M$48,0))</f>
        <v>UI</v>
      </c>
      <c r="D7" s="4">
        <f>INDEX(Modules!$E$2:$E$48,MATCH($A7,Modules!$M$2:$M$48,0))</f>
        <v>19</v>
      </c>
      <c r="E7" s="30">
        <f>D7/SUM(Modules!$E$2:$E$48)</f>
        <v>0.0666666666666667</v>
      </c>
      <c r="F7" s="4">
        <f>INDEX(Modules!$J$2:$J$48,MATCH($A7,Modules!$M$2:$M$48,0))</f>
        <v>4</v>
      </c>
      <c r="G7" s="29">
        <f>INDEX(Modules!$H$2:$H$48,MATCH($A7,Modules!$M$2:$M$48,0))</f>
        <v>55.52</v>
      </c>
      <c r="H7" s="4" t="str">
        <f>INDEX(Modules!$N$2:$N$48,MATCH($A7,Modules!$M$2:$M$48,0))</f>
        <v>Tier 1: fix first</v>
      </c>
    </row>
    <row r="8">
      <c r="A8" s="4" t="n">
        <v>4</v>
      </c>
      <c r="B8" s="4" t="str">
        <f>INDEX(Modules!$A$2:$A$48,MATCH($A8,Modules!$M$2:$M$48,0))</f>
        <v>auth_session</v>
      </c>
      <c r="C8" s="4" t="str">
        <f>INDEX(Modules!$B$2:$B$48,MATCH($A8,Modules!$M$2:$M$48,0))</f>
        <v>Auth</v>
      </c>
      <c r="D8" s="4">
        <f>INDEX(Modules!$E$2:$E$48,MATCH($A8,Modules!$M$2:$M$48,0))</f>
        <v>17</v>
      </c>
      <c r="E8" s="30">
        <f>D8/SUM(Modules!$E$2:$E$48)</f>
        <v>0.0596491228070175</v>
      </c>
      <c r="F8" s="4">
        <f>INDEX(Modules!$J$2:$J$48,MATCH($A8,Modules!$M$2:$M$48,0))</f>
        <v>5</v>
      </c>
      <c r="G8" s="29">
        <f>INDEX(Modules!$H$2:$H$48,MATCH($A8,Modules!$M$2:$M$48,0))</f>
        <v>36.74</v>
      </c>
      <c r="H8" s="4" t="str">
        <f>INDEX(Modules!$N$2:$N$48,MATCH($A8,Modules!$M$2:$M$48,0))</f>
        <v>Tier 1: fix first</v>
      </c>
    </row>
    <row r="9">
      <c r="A9" s="4" t="n">
        <v>5</v>
      </c>
      <c r="B9" s="4" t="str">
        <f>INDEX(Modules!$A$2:$A$48,MATCH($A9,Modules!$M$2:$M$48,0))</f>
        <v>payments_fraud</v>
      </c>
      <c r="C9" s="4" t="str">
        <f>INDEX(Modules!$B$2:$B$48,MATCH($A9,Modules!$M$2:$M$48,0))</f>
        <v>Payments</v>
      </c>
      <c r="D9" s="4">
        <f>INDEX(Modules!$E$2:$E$48,MATCH($A9,Modules!$M$2:$M$48,0))</f>
        <v>15</v>
      </c>
      <c r="E9" s="30">
        <f>D9/SUM(Modules!$E$2:$E$48)</f>
        <v>0.0526315789473684</v>
      </c>
      <c r="F9" s="4">
        <f>INDEX(Modules!$J$2:$J$48,MATCH($A9,Modules!$M$2:$M$48,0))</f>
        <v>4</v>
      </c>
      <c r="G9" s="29">
        <f>INDEX(Modules!$H$2:$H$48,MATCH($A9,Modules!$M$2:$M$48,0))</f>
        <v>37.76</v>
      </c>
      <c r="H9" s="4" t="str">
        <f>INDEX(Modules!$N$2:$N$48,MATCH($A9,Modules!$M$2:$M$48,0))</f>
        <v>Tier 1: fix first</v>
      </c>
    </row>
    <row r="10">
      <c r="A10" s="4" t="n">
        <v>6</v>
      </c>
      <c r="B10" s="4" t="str">
        <f>INDEX(Modules!$A$2:$A$48,MATCH($A10,Modules!$M$2:$M$48,0))</f>
        <v>reporting_audit_logs</v>
      </c>
      <c r="C10" s="4" t="str">
        <f>INDEX(Modules!$B$2:$B$48,MATCH($A10,Modules!$M$2:$M$48,0))</f>
        <v>Reporting</v>
      </c>
      <c r="D10" s="4">
        <f>INDEX(Modules!$E$2:$E$48,MATCH($A10,Modules!$M$2:$M$48,0))</f>
        <v>14</v>
      </c>
      <c r="E10" s="30">
        <f>D10/SUM(Modules!$E$2:$E$48)</f>
        <v>0.0491228070175439</v>
      </c>
      <c r="F10" s="4">
        <f>INDEX(Modules!$J$2:$J$48,MATCH($A10,Modules!$M$2:$M$48,0))</f>
        <v>5</v>
      </c>
      <c r="G10" s="29">
        <f>INDEX(Modules!$H$2:$H$48,MATCH($A10,Modules!$M$2:$M$48,0))</f>
        <v>63.26</v>
      </c>
      <c r="H10" s="4" t="str">
        <f>INDEX(Modules!$N$2:$N$48,MATCH($A10,Modules!$M$2:$M$48,0))</f>
        <v>Tier 1: fix first</v>
      </c>
    </row>
    <row r="11">
      <c r="A11" s="4" t="n">
        <v>7</v>
      </c>
      <c r="B11" s="4" t="str">
        <f>INDEX(Modules!$A$2:$A$48,MATCH($A11,Modules!$M$2:$M$48,0))</f>
        <v>reporting_scheduler</v>
      </c>
      <c r="C11" s="4" t="str">
        <f>INDEX(Modules!$B$2:$B$48,MATCH($A11,Modules!$M$2:$M$48,0))</f>
        <v>Reporting</v>
      </c>
      <c r="D11" s="4">
        <f>INDEX(Modules!$E$2:$E$48,MATCH($A11,Modules!$M$2:$M$48,0))</f>
        <v>13</v>
      </c>
      <c r="E11" s="30">
        <f>D11/SUM(Modules!$E$2:$E$48)</f>
        <v>0.0456140350877193</v>
      </c>
      <c r="F11" s="4">
        <f>INDEX(Modules!$J$2:$J$48,MATCH($A11,Modules!$M$2:$M$48,0))</f>
        <v>5</v>
      </c>
      <c r="G11" s="29">
        <f>INDEX(Modules!$H$2:$H$48,MATCH($A11,Modules!$M$2:$M$48,0))</f>
        <v>41.03</v>
      </c>
      <c r="H11" s="4" t="str">
        <f>INDEX(Modules!$N$2:$N$48,MATCH($A11,Modules!$M$2:$M$48,0))</f>
        <v>Tier 1: fix first</v>
      </c>
    </row>
    <row r="12">
      <c r="A12" s="4" t="n">
        <v>8</v>
      </c>
      <c r="B12" s="4" t="str">
        <f>INDEX(Modules!$A$2:$A$48,MATCH($A12,Modules!$M$2:$M$48,0))</f>
        <v>database_migration</v>
      </c>
      <c r="C12" s="4" t="str">
        <f>INDEX(Modules!$B$2:$B$48,MATCH($A12,Modules!$M$2:$M$48,0))</f>
        <v>Database</v>
      </c>
      <c r="D12" s="4">
        <f>INDEX(Modules!$E$2:$E$48,MATCH($A12,Modules!$M$2:$M$48,0))</f>
        <v>12</v>
      </c>
      <c r="E12" s="30">
        <f>D12/SUM(Modules!$E$2:$E$48)</f>
        <v>0.0421052631578947</v>
      </c>
      <c r="F12" s="4">
        <f>INDEX(Modules!$J$2:$J$48,MATCH($A12,Modules!$M$2:$M$48,0))</f>
        <v>5</v>
      </c>
      <c r="G12" s="29">
        <f>INDEX(Modules!$H$2:$H$48,MATCH($A12,Modules!$M$2:$M$48,0))</f>
        <v>56.08</v>
      </c>
      <c r="H12" s="4" t="str">
        <f>INDEX(Modules!$N$2:$N$48,MATCH($A12,Modules!$M$2:$M$48,0))</f>
        <v>Tier 1: fix first</v>
      </c>
    </row>
    <row r="13">
      <c r="A13" s="4" t="n">
        <v>9</v>
      </c>
      <c r="B13" s="4" t="str">
        <f>INDEX(Modules!$A$2:$A$48,MATCH($A13,Modules!$M$2:$M$48,0))</f>
        <v>payments_invoice</v>
      </c>
      <c r="C13" s="4" t="str">
        <f>INDEX(Modules!$B$2:$B$48,MATCH($A13,Modules!$M$2:$M$48,0))</f>
        <v>Payments</v>
      </c>
      <c r="D13" s="4">
        <f>INDEX(Modules!$E$2:$E$48,MATCH($A13,Modules!$M$2:$M$48,0))</f>
        <v>12</v>
      </c>
      <c r="E13" s="30">
        <f>D13/SUM(Modules!$E$2:$E$48)</f>
        <v>0.0421052631578947</v>
      </c>
      <c r="F13" s="4">
        <f>INDEX(Modules!$J$2:$J$48,MATCH($A13,Modules!$M$2:$M$48,0))</f>
        <v>4</v>
      </c>
      <c r="G13" s="29">
        <f>INDEX(Modules!$H$2:$H$48,MATCH($A13,Modules!$M$2:$M$48,0))</f>
        <v>61.28</v>
      </c>
      <c r="H13" s="4" t="str">
        <f>INDEX(Modules!$N$2:$N$48,MATCH($A13,Modules!$M$2:$M$48,0))</f>
        <v>Tier 3: monitor</v>
      </c>
    </row>
    <row r="14">
      <c r="A14" s="4" t="n">
        <v>10</v>
      </c>
      <c r="B14" s="4" t="str">
        <f>INDEX(Modules!$A$2:$A$48,MATCH($A14,Modules!$M$2:$M$48,0))</f>
        <v>database_replication</v>
      </c>
      <c r="C14" s="4" t="str">
        <f>INDEX(Modules!$B$2:$B$48,MATCH($A14,Modules!$M$2:$M$48,0))</f>
        <v>Database</v>
      </c>
      <c r="D14" s="4">
        <f>INDEX(Modules!$E$2:$E$48,MATCH($A14,Modules!$M$2:$M$48,0))</f>
        <v>10</v>
      </c>
      <c r="E14" s="30">
        <f>D14/SUM(Modules!$E$2:$E$48)</f>
        <v>0.0350877192982456</v>
      </c>
      <c r="F14" s="4">
        <f>INDEX(Modules!$J$2:$J$48,MATCH($A14,Modules!$M$2:$M$48,0))</f>
        <v>5</v>
      </c>
      <c r="G14" s="29">
        <f>INDEX(Modules!$H$2:$H$48,MATCH($A14,Modules!$M$2:$M$48,0))</f>
        <v>65.82</v>
      </c>
      <c r="H14" s="4" t="str">
        <f>INDEX(Modules!$N$2:$N$48,MATCH($A14,Modules!$M$2:$M$48,0))</f>
        <v>Tier 3: monitor</v>
      </c>
    </row>
    <row r="15">
      <c r="A15" s="16" t="inlineStr">
        <is>
          <t>Top 10 total</t>
        </is>
      </c>
      <c r="D15" s="16">
        <f>SUM(D5:D14)</f>
        <v>166</v>
      </c>
      <c r="E15" s="31">
        <f>D15/SUM(Modules!$E$2:$E$48)</f>
        <v>0.582456140350877</v>
      </c>
    </row>
    <row r="18">
      <c r="A18" s="3" t="inlineStr">
        <is>
          <t>Defects by component</t>
        </is>
      </c>
    </row>
    <row r="19" ht="30" customHeight="1">
      <c r="A19" s="7" t="inlineStr">
        <is>
          <t>Component</t>
        </is>
      </c>
      <c r="B19" s="7" t="inlineStr">
        <is>
          <t>Modules</t>
        </is>
      </c>
      <c r="C19" s="7" t="inlineStr">
        <is>
          <t>Total defects</t>
        </is>
      </c>
      <c r="D19" s="7" t="inlineStr">
        <is>
          <t>Avg defects per module-release</t>
        </is>
      </c>
      <c r="E19" s="7" t="inlineStr">
        <is>
          <t>Share of all defects</t>
        </is>
      </c>
    </row>
    <row r="20">
      <c r="A20" s="4" t="inlineStr">
        <is>
          <t>API</t>
        </is>
      </c>
      <c r="B20" s="4">
        <f>COUNTIF(Modules!$B$2:$B$48,A20)</f>
        <v>8</v>
      </c>
      <c r="C20" s="4">
        <f>SUMIFS(Data!$S$2:$S$236,Data!$B$2:$B$236,A20)</f>
        <v>50</v>
      </c>
      <c r="D20" s="18">
        <f>AVERAGEIFS(Data!$S$2:$S$236,Data!$B$2:$B$236,A20)</f>
        <v>1.25</v>
      </c>
      <c r="E20" s="30">
        <f>C20/$C$26</f>
        <v>0.175438596491228</v>
      </c>
    </row>
    <row r="21">
      <c r="A21" s="4" t="inlineStr">
        <is>
          <t>Auth</t>
        </is>
      </c>
      <c r="B21" s="4">
        <f>COUNTIF(Modules!$B$2:$B$48,A21)</f>
        <v>8</v>
      </c>
      <c r="C21" s="4">
        <f>SUMIFS(Data!$S$2:$S$236,Data!$B$2:$B$236,A21)</f>
        <v>31</v>
      </c>
      <c r="D21" s="18">
        <f>AVERAGEIFS(Data!$S$2:$S$236,Data!$B$2:$B$236,A21)</f>
        <v>0.775</v>
      </c>
      <c r="E21" s="30">
        <f>C21/$C$26</f>
        <v>0.108771929824561</v>
      </c>
    </row>
    <row r="22">
      <c r="A22" s="4" t="inlineStr">
        <is>
          <t>Database</t>
        </is>
      </c>
      <c r="B22" s="4">
        <f>COUNTIF(Modules!$B$2:$B$48,A22)</f>
        <v>7</v>
      </c>
      <c r="C22" s="4">
        <f>SUMIFS(Data!$S$2:$S$236,Data!$B$2:$B$236,A22)</f>
        <v>36</v>
      </c>
      <c r="D22" s="18">
        <f>AVERAGEIFS(Data!$S$2:$S$236,Data!$B$2:$B$236,A22)</f>
        <v>1.02857142857143</v>
      </c>
      <c r="E22" s="30">
        <f>C22/$C$26</f>
        <v>0.126315789473684</v>
      </c>
    </row>
    <row r="23">
      <c r="A23" s="4" t="inlineStr">
        <is>
          <t>Payments</t>
        </is>
      </c>
      <c r="B23" s="4">
        <f>COUNTIF(Modules!$B$2:$B$48,A23)</f>
        <v>8</v>
      </c>
      <c r="C23" s="4">
        <f>SUMIFS(Data!$S$2:$S$236,Data!$B$2:$B$236,A23)</f>
        <v>55</v>
      </c>
      <c r="D23" s="18">
        <f>AVERAGEIFS(Data!$S$2:$S$236,Data!$B$2:$B$236,A23)</f>
        <v>1.375</v>
      </c>
      <c r="E23" s="30">
        <f>C23/$C$26</f>
        <v>0.192982456140351</v>
      </c>
    </row>
    <row r="24">
      <c r="A24" s="4" t="inlineStr">
        <is>
          <t>Reporting</t>
        </is>
      </c>
      <c r="B24" s="4">
        <f>COUNTIF(Modules!$B$2:$B$48,A24)</f>
        <v>8</v>
      </c>
      <c r="C24" s="4">
        <f>SUMIFS(Data!$S$2:$S$236,Data!$B$2:$B$236,A24)</f>
        <v>43</v>
      </c>
      <c r="D24" s="18">
        <f>AVERAGEIFS(Data!$S$2:$S$236,Data!$B$2:$B$236,A24)</f>
        <v>1.075</v>
      </c>
      <c r="E24" s="30">
        <f>C24/$C$26</f>
        <v>0.150877192982456</v>
      </c>
    </row>
    <row r="25">
      <c r="A25" s="4" t="inlineStr">
        <is>
          <t>UI</t>
        </is>
      </c>
      <c r="B25" s="4">
        <f>COUNTIF(Modules!$B$2:$B$48,A25)</f>
        <v>8</v>
      </c>
      <c r="C25" s="4">
        <f>SUMIFS(Data!$S$2:$S$236,Data!$B$2:$B$236,A25)</f>
        <v>70</v>
      </c>
      <c r="D25" s="18">
        <f>AVERAGEIFS(Data!$S$2:$S$236,Data!$B$2:$B$236,A25)</f>
        <v>1.75</v>
      </c>
      <c r="E25" s="30">
        <f>C25/$C$26</f>
        <v>0.245614035087719</v>
      </c>
    </row>
    <row r="26">
      <c r="A26" s="16" t="inlineStr">
        <is>
          <t>All components</t>
        </is>
      </c>
      <c r="B26" s="16">
        <f>SUM(B20:B25)</f>
        <v>47</v>
      </c>
      <c r="C26" s="16">
        <f>SUM(C20:C25)</f>
        <v>285</v>
      </c>
      <c r="D26" s="6">
        <f>AVERAGE(Data!$S$2:$S$236)</f>
        <v>1.21276595744681</v>
      </c>
      <c r="E26" s="31">
        <f>SUM(E20:E25)</f>
        <v>1</v>
      </c>
    </row>
    <row r="29">
      <c r="A29" s="3" t="inlineStr">
        <is>
          <t>Defects by severity</t>
        </is>
      </c>
    </row>
    <row r="30">
      <c r="A30" s="7" t="inlineStr">
        <is>
          <t>Severity</t>
        </is>
      </c>
      <c r="B30" s="7" t="inlineStr">
        <is>
          <t>Defects</t>
        </is>
      </c>
      <c r="C30" s="7" t="inlineStr">
        <is>
          <t>Share</t>
        </is>
      </c>
    </row>
    <row r="31">
      <c r="A31" s="4" t="inlineStr">
        <is>
          <t>Low</t>
        </is>
      </c>
      <c r="B31" s="4">
        <f>SUM(Data!$O$2:$O$236)</f>
        <v>111</v>
      </c>
      <c r="C31" s="30">
        <f>B31/$B$35</f>
        <v>0.389473684210526</v>
      </c>
    </row>
    <row r="32">
      <c r="A32" s="4" t="inlineStr">
        <is>
          <t>Medium</t>
        </is>
      </c>
      <c r="B32" s="4">
        <f>SUM(Data!$P$2:$P$236)</f>
        <v>91</v>
      </c>
      <c r="C32" s="30">
        <f>B32/$B$35</f>
        <v>0.319298245614035</v>
      </c>
    </row>
    <row r="33">
      <c r="A33" s="4" t="inlineStr">
        <is>
          <t>High</t>
        </is>
      </c>
      <c r="B33" s="4">
        <f>SUM(Data!$Q$2:$Q$236)</f>
        <v>61</v>
      </c>
      <c r="C33" s="30">
        <f>B33/$B$35</f>
        <v>0.214035087719298</v>
      </c>
    </row>
    <row r="34">
      <c r="A34" s="4" t="inlineStr">
        <is>
          <t>Critical</t>
        </is>
      </c>
      <c r="B34" s="4">
        <f>SUM(Data!$R$2:$R$236)</f>
        <v>22</v>
      </c>
      <c r="C34" s="30">
        <f>B34/$B$35</f>
        <v>0.0771929824561404</v>
      </c>
    </row>
    <row r="35">
      <c r="A35" s="16" t="inlineStr">
        <is>
          <t>Total</t>
        </is>
      </c>
      <c r="B35" s="16">
        <f>SUM(B31:B34)</f>
        <v>285</v>
      </c>
      <c r="C35" s="31">
        <f>SUM(C31:C34)</f>
        <v>1</v>
      </c>
    </row>
    <row r="38">
      <c r="A38" s="3" t="inlineStr">
        <is>
          <t>How many defects does a module have in one release?</t>
        </is>
      </c>
    </row>
    <row r="39">
      <c r="A39" s="7" t="inlineStr">
        <is>
          <t>Defects in a release</t>
        </is>
      </c>
      <c r="B39" s="7" t="inlineStr">
        <is>
          <t>Module-releases</t>
        </is>
      </c>
    </row>
    <row r="40">
      <c r="A40" s="4" t="inlineStr">
        <is>
          <t>0</t>
        </is>
      </c>
      <c r="B40" s="4">
        <f>COUNTIF(Data!$S$2:$S$236,0)</f>
        <v>115</v>
      </c>
    </row>
    <row r="41">
      <c r="A41" s="4" t="inlineStr">
        <is>
          <t>1</t>
        </is>
      </c>
      <c r="B41" s="4">
        <f>COUNTIF(Data!$S$2:$S$236,1)</f>
        <v>53</v>
      </c>
    </row>
    <row r="42">
      <c r="A42" s="4" t="inlineStr">
        <is>
          <t>2</t>
        </is>
      </c>
      <c r="B42" s="4">
        <f>COUNTIF(Data!$S$2:$S$236,2)</f>
        <v>31</v>
      </c>
    </row>
    <row r="43">
      <c r="A43" s="4" t="inlineStr">
        <is>
          <t>3</t>
        </is>
      </c>
      <c r="B43" s="4">
        <f>COUNTIF(Data!$S$2:$S$236,3)</f>
        <v>16</v>
      </c>
    </row>
    <row r="44">
      <c r="A44" s="4" t="inlineStr">
        <is>
          <t>4</t>
        </is>
      </c>
      <c r="B44" s="4">
        <f>COUNTIF(Data!$S$2:$S$236,4)</f>
        <v>8</v>
      </c>
    </row>
    <row r="45">
      <c r="A45" s="4" t="inlineStr">
        <is>
          <t>5 or more</t>
        </is>
      </c>
      <c r="B45" s="4">
        <f>COUNTIF(Data!$S$2:$S$236,"&gt;=5")</f>
        <v>12</v>
      </c>
    </row>
    <row r="46">
      <c r="A46" s="16" t="inlineStr">
        <is>
          <t>Total</t>
        </is>
      </c>
      <c r="B46" s="16">
        <f>SUM(B40:B45)</f>
        <v>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Complexity vs defects</t>
        </is>
      </c>
    </row>
    <row r="2">
      <c r="A2" s="2" t="inlineStr">
        <is>
          <t>Correlation, regression and quartile bands. Quartile boundaries (column C) also drive the band columns on the Data sheet.</t>
        </is>
      </c>
    </row>
    <row r="3">
      <c r="A3" s="3" t="inlineStr">
        <is>
          <t>Relationship statistics (235 module-release rows)</t>
        </is>
      </c>
    </row>
    <row r="4">
      <c r="A4" s="4" t="inlineStr">
        <is>
          <t>Observations (n)</t>
        </is>
      </c>
      <c r="B4" s="11">
        <f>COUNT(Data!$H$2:$H$236)</f>
        <v>235</v>
      </c>
    </row>
    <row r="5">
      <c r="A5" s="4" t="inlineStr">
        <is>
          <t>Correlation with defects (Pearson r)</t>
        </is>
      </c>
      <c r="B5" s="18">
        <f>CORREL(Data!$H$2:$H$236,Data!$S$2:$S$236)</f>
        <v>0.345525462055353</v>
      </c>
    </row>
    <row r="6">
      <c r="A6" s="4" t="inlineStr">
        <is>
          <t>R-squared</t>
        </is>
      </c>
      <c r="B6" s="18">
        <f>RSQ(Data!$S$2:$S$236,Data!$H$2:$H$236)</f>
        <v>0.119387844928565</v>
      </c>
    </row>
    <row r="7">
      <c r="A7" s="4" t="inlineStr">
        <is>
          <t>Slope (defects per unit)</t>
        </is>
      </c>
      <c r="B7" s="32">
        <f>SLOPE(Data!$S$2:$S$236,Data!$H$2:$H$236)</f>
        <v>0.100445938742791</v>
      </c>
    </row>
    <row r="8">
      <c r="A8" s="4" t="inlineStr">
        <is>
          <t>Intercept</t>
        </is>
      </c>
      <c r="B8" s="18">
        <f>INTERCEPT(Data!$S$2:$S$236,Data!$H$2:$H$236)</f>
        <v>-0.30118087705613</v>
      </c>
    </row>
    <row r="9">
      <c r="A9" s="3" t="inlineStr">
        <is>
          <t>Complexity quartile bands</t>
        </is>
      </c>
    </row>
    <row r="10" ht="30" customHeight="1">
      <c r="A10" s="7" t="inlineStr">
        <is>
          <t>Band</t>
        </is>
      </c>
      <c r="B10" s="7" t="inlineStr">
        <is>
          <t>Lower bound (above)</t>
        </is>
      </c>
      <c r="C10" s="7" t="inlineStr">
        <is>
          <t>Upper bound (up to)</t>
        </is>
      </c>
      <c r="D10" s="7" t="inlineStr">
        <is>
          <t>Module-releases</t>
        </is>
      </c>
      <c r="E10" s="7" t="inlineStr">
        <is>
          <t>Avg defects per release</t>
        </is>
      </c>
      <c r="F10" s="7" t="inlineStr">
        <is>
          <t>Times the lowest band</t>
        </is>
      </c>
    </row>
    <row r="11">
      <c r="A11" s="4" t="inlineStr">
        <is>
          <t>Q1 (lowest)</t>
        </is>
      </c>
      <c r="B11" s="29">
        <f>MIN(Data!$H$2:$H$236)</f>
        <v>2</v>
      </c>
      <c r="C11" s="29">
        <f>QUARTILE(Data!$H$2:$H$236,1)</f>
        <v>10.45</v>
      </c>
      <c r="D11" s="11">
        <f>COUNTIFS(Data!$H$2:$H$236,"&lt;="&amp;C11)</f>
        <v>59</v>
      </c>
      <c r="E11" s="18">
        <f>AVERAGEIFS(Data!$S$2:$S$236,Data!$H$2:$H$236,"&lt;="&amp;C11)</f>
        <v>0.76271186440678</v>
      </c>
      <c r="F11" s="33">
        <f>E11/$E$11</f>
        <v>1</v>
      </c>
    </row>
    <row r="12">
      <c r="A12" s="4" t="inlineStr">
        <is>
          <t>Q2</t>
        </is>
      </c>
      <c r="B12" s="29">
        <f>C11</f>
        <v>10.45</v>
      </c>
      <c r="C12" s="29">
        <f>QUARTILE(Data!$H$2:$H$236,2)</f>
        <v>14.96</v>
      </c>
      <c r="D12" s="11">
        <f>COUNTIFS(Data!$H$2:$H$236,"&gt;"&amp;B12,Data!$H$2:$H$236,"&lt;="&amp;C12)</f>
        <v>59</v>
      </c>
      <c r="E12" s="18">
        <f>AVERAGEIFS(Data!$S$2:$S$236,Data!$H$2:$H$236,"&gt;"&amp;B12,Data!$H$2:$H$236,"&lt;="&amp;C12)</f>
        <v>0.525423728813559</v>
      </c>
      <c r="F12" s="33">
        <f>E12/$E$11</f>
        <v>0.688888888888889</v>
      </c>
    </row>
    <row r="13">
      <c r="A13" s="4" t="inlineStr">
        <is>
          <t>Q3</t>
        </is>
      </c>
      <c r="B13" s="29">
        <f>C12</f>
        <v>14.96</v>
      </c>
      <c r="C13" s="29">
        <f>QUARTILE(Data!$H$2:$H$236,3)</f>
        <v>19.5325</v>
      </c>
      <c r="D13" s="11">
        <f>COUNTIFS(Data!$H$2:$H$236,"&gt;"&amp;B13,Data!$H$2:$H$236,"&lt;="&amp;C13)</f>
        <v>58</v>
      </c>
      <c r="E13" s="18">
        <f>AVERAGEIFS(Data!$S$2:$S$236,Data!$H$2:$H$236,"&gt;"&amp;B13,Data!$H$2:$H$236,"&lt;="&amp;C13)</f>
        <v>1.29310344827586</v>
      </c>
      <c r="F13" s="33">
        <f>E13/$E$11</f>
        <v>1.69540229885057</v>
      </c>
    </row>
    <row r="14">
      <c r="A14" s="4" t="inlineStr">
        <is>
          <t>Q4 (highest)</t>
        </is>
      </c>
      <c r="B14" s="29">
        <f>C13</f>
        <v>19.5325</v>
      </c>
      <c r="C14" s="29">
        <f>MAX(Data!$H$2:$H$236)</f>
        <v>33.4</v>
      </c>
      <c r="D14" s="11">
        <f>COUNTIFS(Data!$H$2:$H$236,"&gt;"&amp;B14,Data!$H$2:$H$236,"&lt;="&amp;C14)</f>
        <v>59</v>
      </c>
      <c r="E14" s="18">
        <f>AVERAGEIFS(Data!$S$2:$S$236,Data!$H$2:$H$236,"&gt;"&amp;B14,Data!$H$2:$H$236,"&lt;="&amp;C14)</f>
        <v>2.27118644067797</v>
      </c>
      <c r="F14" s="33">
        <f>E14/$E$11</f>
        <v>2.97777777777778</v>
      </c>
    </row>
    <row r="16">
      <c r="A16" s="16" t="inlineStr">
        <is>
          <t>Top quartile vs lowest quartile</t>
        </is>
      </c>
      <c r="E16" s="34">
        <f>E14/E11</f>
        <v>2.97777777777778</v>
      </c>
    </row>
    <row r="18">
      <c r="A18" s="2" t="inlineStr">
        <is>
          <t>Complexity values above 100 were treated as errors, set to missing and filled with the module median (see Notes).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Code churn vs defects</t>
        </is>
      </c>
    </row>
    <row r="2">
      <c r="A2" s="2" t="inlineStr">
        <is>
          <t>Correlation, regression and quartile bands. Quartile boundaries (column C) also drive the band columns on the Data sheet.</t>
        </is>
      </c>
    </row>
    <row r="3">
      <c r="A3" s="3" t="inlineStr">
        <is>
          <t>Relationship statistics (235 module-release rows)</t>
        </is>
      </c>
    </row>
    <row r="4">
      <c r="A4" s="4" t="inlineStr">
        <is>
          <t>Observations (n)</t>
        </is>
      </c>
      <c r="B4" s="11">
        <f>COUNT(Data!$J$2:$J$236)</f>
        <v>235</v>
      </c>
    </row>
    <row r="5">
      <c r="A5" s="4" t="inlineStr">
        <is>
          <t>Correlation with defects (Pearson r)</t>
        </is>
      </c>
      <c r="B5" s="18">
        <f>CORREL(Data!$J$2:$J$236,Data!$S$2:$S$236)</f>
        <v>0.645171397869014</v>
      </c>
    </row>
    <row r="6">
      <c r="A6" s="4" t="inlineStr">
        <is>
          <t>R-squared</t>
        </is>
      </c>
      <c r="B6" s="18">
        <f>RSQ(Data!$S$2:$S$236,Data!$J$2:$J$236)</f>
        <v>0.416246132628257</v>
      </c>
    </row>
    <row r="7">
      <c r="A7" s="4" t="inlineStr">
        <is>
          <t>Slope (defects per unit)</t>
        </is>
      </c>
      <c r="B7" s="32">
        <f>SLOPE(Data!$S$2:$S$236,Data!$J$2:$J$236)</f>
        <v>0.00552068744110907</v>
      </c>
    </row>
    <row r="8">
      <c r="A8" s="4" t="inlineStr">
        <is>
          <t>Intercept</t>
        </is>
      </c>
      <c r="B8" s="18">
        <f>INTERCEPT(Data!$S$2:$S$236,Data!$J$2:$J$236)</f>
        <v>-0.567811966019306</v>
      </c>
    </row>
    <row r="9">
      <c r="A9" s="3" t="inlineStr">
        <is>
          <t>Code churn quartile bands</t>
        </is>
      </c>
    </row>
    <row r="10" ht="30" customHeight="1">
      <c r="A10" s="7" t="inlineStr">
        <is>
          <t>Band</t>
        </is>
      </c>
      <c r="B10" s="7" t="inlineStr">
        <is>
          <t>Lower bound (above)</t>
        </is>
      </c>
      <c r="C10" s="7" t="inlineStr">
        <is>
          <t>Upper bound (up to)</t>
        </is>
      </c>
      <c r="D10" s="7" t="inlineStr">
        <is>
          <t>Module-releases</t>
        </is>
      </c>
      <c r="E10" s="7" t="inlineStr">
        <is>
          <t>Avg defects per release</t>
        </is>
      </c>
      <c r="F10" s="7" t="inlineStr">
        <is>
          <t>Times the lowest band</t>
        </is>
      </c>
    </row>
    <row r="11">
      <c r="A11" s="4" t="inlineStr">
        <is>
          <t>Q1 (lowest)</t>
        </is>
      </c>
      <c r="B11" s="29">
        <f>MIN(Data!$J$2:$J$236)</f>
        <v>33.7</v>
      </c>
      <c r="C11" s="29">
        <f>QUARTILE(Data!$J$2:$J$236,1)</f>
        <v>165.2</v>
      </c>
      <c r="D11" s="11">
        <f>COUNTIFS(Data!$J$2:$J$236,"&lt;="&amp;C11)</f>
        <v>59</v>
      </c>
      <c r="E11" s="18">
        <f>AVERAGEIFS(Data!$S$2:$S$236,Data!$J$2:$J$236,"&lt;="&amp;C11)</f>
        <v>0.474576271186441</v>
      </c>
      <c r="F11" s="33">
        <f>E11/$E$11</f>
        <v>1</v>
      </c>
    </row>
    <row r="12">
      <c r="A12" s="4" t="inlineStr">
        <is>
          <t>Q2</t>
        </is>
      </c>
      <c r="B12" s="29">
        <f>C11</f>
        <v>165.2</v>
      </c>
      <c r="C12" s="29">
        <f>QUARTILE(Data!$J$2:$J$236,2)</f>
        <v>282</v>
      </c>
      <c r="D12" s="11">
        <f>COUNTIFS(Data!$J$2:$J$236,"&gt;"&amp;B12,Data!$J$2:$J$236,"&lt;="&amp;C12)</f>
        <v>59</v>
      </c>
      <c r="E12" s="18">
        <f>AVERAGEIFS(Data!$S$2:$S$236,Data!$J$2:$J$236,"&gt;"&amp;B12,Data!$J$2:$J$236,"&lt;="&amp;C12)</f>
        <v>0.779661016949153</v>
      </c>
      <c r="F12" s="33">
        <f>E12/$E$11</f>
        <v>1.64285714285714</v>
      </c>
    </row>
    <row r="13">
      <c r="A13" s="4" t="inlineStr">
        <is>
          <t>Q3</t>
        </is>
      </c>
      <c r="B13" s="29">
        <f>C12</f>
        <v>282</v>
      </c>
      <c r="C13" s="29">
        <f>QUARTILE(Data!$J$2:$J$236,3)</f>
        <v>397.35</v>
      </c>
      <c r="D13" s="11">
        <f>COUNTIFS(Data!$J$2:$J$236,"&gt;"&amp;B13,Data!$J$2:$J$236,"&lt;="&amp;C13)</f>
        <v>58</v>
      </c>
      <c r="E13" s="18">
        <f>AVERAGEIFS(Data!$S$2:$S$236,Data!$J$2:$J$236,"&gt;"&amp;B13,Data!$J$2:$J$236,"&lt;="&amp;C13)</f>
        <v>0.862068965517241</v>
      </c>
      <c r="F13" s="33">
        <f>E13/$E$11</f>
        <v>1.81650246305419</v>
      </c>
    </row>
    <row r="14">
      <c r="A14" s="4" t="inlineStr">
        <is>
          <t>Q4 (highest)</t>
        </is>
      </c>
      <c r="B14" s="29">
        <f>C13</f>
        <v>397.35</v>
      </c>
      <c r="C14" s="29">
        <f>MAX(Data!$J$2:$J$236)</f>
        <v>1249.4</v>
      </c>
      <c r="D14" s="11">
        <f>COUNTIFS(Data!$J$2:$J$236,"&gt;"&amp;B14,Data!$J$2:$J$236,"&lt;="&amp;C14)</f>
        <v>59</v>
      </c>
      <c r="E14" s="18">
        <f>AVERAGEIFS(Data!$S$2:$S$236,Data!$J$2:$J$236,"&gt;"&amp;B14,Data!$J$2:$J$236,"&lt;="&amp;C14)</f>
        <v>2.72881355932203</v>
      </c>
      <c r="F14" s="33">
        <f>E14/$E$11</f>
        <v>5.75</v>
      </c>
    </row>
    <row r="16">
      <c r="A16" s="16" t="inlineStr">
        <is>
          <t>Top quartile vs lowest quartile</t>
        </is>
      </c>
      <c r="E16" s="34">
        <f>E14/E11</f>
        <v>5.75</v>
      </c>
    </row>
    <row r="18">
      <c r="A18" s="2" t="inlineStr">
        <is>
          <t>Churn = changed lines per module-release from metrics data. Churn is the strongest single metric by Pearson correlation.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15" customWidth="1" min="4" max="4"/>
    <col width="20" customWidth="1" min="5" max="5"/>
  </cols>
  <sheetData>
    <row r="1">
      <c r="A1" s="1" t="inlineStr">
        <is>
          <t>Q4. How does test coverage differ?</t>
        </is>
      </c>
    </row>
    <row r="2">
      <c r="A2" s="2" t="inlineStr">
        <is>
          <t>Coverage bands, component comparison and top-10 defect modules vs the rest.</t>
        </is>
      </c>
    </row>
    <row r="3">
      <c r="A3" s="3" t="inlineStr">
        <is>
          <t>Relationship statistics</t>
        </is>
      </c>
    </row>
    <row r="4">
      <c r="A4" s="4" t="inlineStr">
        <is>
          <t>Correlation with defects (Pearson r)</t>
        </is>
      </c>
      <c r="B4" s="18">
        <f>CORREL(Data!$K$2:$K$236,Data!$S$2:$S$236)</f>
        <v>-0.392213545932308</v>
      </c>
    </row>
    <row r="5">
      <c r="A5" s="4" t="inlineStr">
        <is>
          <t>R-squared</t>
        </is>
      </c>
      <c r="B5" s="18">
        <f>RSQ(Data!$S$2:$S$236,Data!$K$2:$K$236)</f>
        <v>0.153831465612794</v>
      </c>
    </row>
    <row r="6">
      <c r="A6" s="4" t="inlineStr">
        <is>
          <t>Average coverage (%)</t>
        </is>
      </c>
      <c r="B6" s="29">
        <f>AVERAGE(Data!$K$2:$K$236)</f>
        <v>63.3451063829787</v>
      </c>
    </row>
    <row r="9">
      <c r="A9" s="3" t="inlineStr">
        <is>
          <t>Average defects by coverage band</t>
        </is>
      </c>
    </row>
    <row r="10" ht="30" customHeight="1">
      <c r="A10" s="7" t="inlineStr">
        <is>
          <t>Coverage band</t>
        </is>
      </c>
      <c r="B10" s="7" t="inlineStr">
        <is>
          <t>Lower bound (above, %)</t>
        </is>
      </c>
      <c r="C10" s="7" t="inlineStr">
        <is>
          <t>Upper bound (up to, %)</t>
        </is>
      </c>
      <c r="D10" s="7" t="inlineStr">
        <is>
          <t>Module-releases</t>
        </is>
      </c>
      <c r="E10" s="7" t="inlineStr">
        <is>
          <t>Avg defects per release</t>
        </is>
      </c>
    </row>
    <row r="11">
      <c r="A11" s="4" t="inlineStr">
        <is>
          <t>&lt;=40%</t>
        </is>
      </c>
      <c r="B11" s="4" t="n">
        <v>0</v>
      </c>
      <c r="C11" s="4" t="n">
        <v>40</v>
      </c>
      <c r="D11" s="4">
        <f>COUNTIFS(Data!$K$2:$K$236,"&gt;"&amp;B11,Data!$K$2:$K$236,"&lt;="&amp;C11)</f>
        <v>22</v>
      </c>
      <c r="E11" s="18">
        <f>AVERAGEIFS(Data!$S$2:$S$236,Data!$K$2:$K$236,"&gt;"&amp;B11,Data!$K$2:$K$236,"&lt;="&amp;C11)</f>
        <v>3.68181818181818</v>
      </c>
    </row>
    <row r="12">
      <c r="A12" s="4" t="inlineStr">
        <is>
          <t>40-60%</t>
        </is>
      </c>
      <c r="B12" s="4" t="n">
        <v>40</v>
      </c>
      <c r="C12" s="4" t="n">
        <v>60</v>
      </c>
      <c r="D12" s="4">
        <f>COUNTIFS(Data!$K$2:$K$236,"&gt;"&amp;B12,Data!$K$2:$K$236,"&lt;="&amp;C12)</f>
        <v>68</v>
      </c>
      <c r="E12" s="18">
        <f>AVERAGEIFS(Data!$S$2:$S$236,Data!$K$2:$K$236,"&gt;"&amp;B12,Data!$K$2:$K$236,"&lt;="&amp;C12)</f>
        <v>1.47058823529412</v>
      </c>
    </row>
    <row r="13">
      <c r="A13" s="4" t="inlineStr">
        <is>
          <t>60-80%</t>
        </is>
      </c>
      <c r="B13" s="4" t="n">
        <v>60</v>
      </c>
      <c r="C13" s="4" t="n">
        <v>80</v>
      </c>
      <c r="D13" s="4">
        <f>COUNTIFS(Data!$K$2:$K$236,"&gt;"&amp;B13,Data!$K$2:$K$236,"&lt;="&amp;C13)</f>
        <v>124</v>
      </c>
      <c r="E13" s="18">
        <f>AVERAGEIFS(Data!$S$2:$S$236,Data!$K$2:$K$236,"&gt;"&amp;B13,Data!$K$2:$K$236,"&lt;="&amp;C13)</f>
        <v>0.733870967741936</v>
      </c>
    </row>
    <row r="14">
      <c r="A14" s="4" t="inlineStr">
        <is>
          <t>80%+</t>
        </is>
      </c>
      <c r="B14" s="4" t="n">
        <v>80</v>
      </c>
      <c r="C14" s="4" t="n">
        <v>100</v>
      </c>
      <c r="D14" s="4">
        <f>COUNTIFS(Data!$K$2:$K$236,"&gt;"&amp;B14,Data!$K$2:$K$236,"&lt;="&amp;C14)</f>
        <v>21</v>
      </c>
      <c r="E14" s="18">
        <f>AVERAGEIFS(Data!$S$2:$S$236,Data!$K$2:$K$236,"&gt;"&amp;B14,Data!$K$2:$K$236,"&lt;="&amp;C14)</f>
        <v>0.619047619047619</v>
      </c>
    </row>
    <row r="15">
      <c r="A15" s="16" t="inlineStr">
        <is>
          <t>Lowest band vs highest band</t>
        </is>
      </c>
      <c r="E15" s="34">
        <f>E11/E14</f>
        <v>5.94755244755245</v>
      </c>
    </row>
    <row r="18">
      <c r="A18" s="3" t="inlineStr">
        <is>
          <t>Coverage and defects by component</t>
        </is>
      </c>
    </row>
    <row r="19" ht="30" customHeight="1">
      <c r="A19" s="7" t="inlineStr">
        <is>
          <t>Component</t>
        </is>
      </c>
      <c r="B19" s="7" t="inlineStr">
        <is>
          <t>Avg test coverage (%)</t>
        </is>
      </c>
      <c r="C19" s="7" t="inlineStr">
        <is>
          <t>Avg defects per module-release</t>
        </is>
      </c>
      <c r="D19" s="7" t="inlineStr">
        <is>
          <t>Total defects</t>
        </is>
      </c>
    </row>
    <row r="20">
      <c r="A20" s="4" t="inlineStr">
        <is>
          <t>API</t>
        </is>
      </c>
      <c r="B20" s="29">
        <f>AVERAGEIFS(Data!$K$2:$K$236,Data!$B$2:$B$236,A20)</f>
        <v>63.8175</v>
      </c>
      <c r="C20" s="18">
        <f>AVERAGEIFS(Data!$S$2:$S$236,Data!$B$2:$B$236,A20)</f>
        <v>1.25</v>
      </c>
      <c r="D20" s="4">
        <f>SUMIFS(Data!$S$2:$S$236,Data!$B$2:$B$236,A20)</f>
        <v>50</v>
      </c>
    </row>
    <row r="21">
      <c r="A21" s="4" t="inlineStr">
        <is>
          <t>Auth</t>
        </is>
      </c>
      <c r="B21" s="29">
        <f>AVERAGEIFS(Data!$K$2:$K$236,Data!$B$2:$B$236,A21)</f>
        <v>66.695</v>
      </c>
      <c r="C21" s="18">
        <f>AVERAGEIFS(Data!$S$2:$S$236,Data!$B$2:$B$236,A21)</f>
        <v>0.775</v>
      </c>
      <c r="D21" s="4">
        <f>SUMIFS(Data!$S$2:$S$236,Data!$B$2:$B$236,A21)</f>
        <v>31</v>
      </c>
    </row>
    <row r="22">
      <c r="A22" s="4" t="inlineStr">
        <is>
          <t>Database</t>
        </is>
      </c>
      <c r="B22" s="29">
        <f>AVERAGEIFS(Data!$K$2:$K$236,Data!$B$2:$B$236,A22)</f>
        <v>66.8657142857143</v>
      </c>
      <c r="C22" s="18">
        <f>AVERAGEIFS(Data!$S$2:$S$236,Data!$B$2:$B$236,A22)</f>
        <v>1.02857142857143</v>
      </c>
      <c r="D22" s="4">
        <f>SUMIFS(Data!$S$2:$S$236,Data!$B$2:$B$236,A22)</f>
        <v>36</v>
      </c>
    </row>
    <row r="23">
      <c r="A23" s="4" t="inlineStr">
        <is>
          <t>Payments</t>
        </is>
      </c>
      <c r="B23" s="29">
        <f>AVERAGEIFS(Data!$K$2:$K$236,Data!$B$2:$B$236,A23)</f>
        <v>61.12125</v>
      </c>
      <c r="C23" s="18">
        <f>AVERAGEIFS(Data!$S$2:$S$236,Data!$B$2:$B$236,A23)</f>
        <v>1.375</v>
      </c>
      <c r="D23" s="4">
        <f>SUMIFS(Data!$S$2:$S$236,Data!$B$2:$B$236,A23)</f>
        <v>55</v>
      </c>
    </row>
    <row r="24">
      <c r="A24" s="4" t="inlineStr">
        <is>
          <t>Reporting</t>
        </is>
      </c>
      <c r="B24" s="29">
        <f>AVERAGEIFS(Data!$K$2:$K$236,Data!$B$2:$B$236,A24)</f>
        <v>66.45125</v>
      </c>
      <c r="C24" s="18">
        <f>AVERAGEIFS(Data!$S$2:$S$236,Data!$B$2:$B$236,A24)</f>
        <v>1.075</v>
      </c>
      <c r="D24" s="4">
        <f>SUMIFS(Data!$S$2:$S$236,Data!$B$2:$B$236,A24)</f>
        <v>43</v>
      </c>
    </row>
    <row r="25">
      <c r="A25" s="4" t="inlineStr">
        <is>
          <t>UI</t>
        </is>
      </c>
      <c r="B25" s="29">
        <f>AVERAGEIFS(Data!$K$2:$K$236,Data!$B$2:$B$236,A25)</f>
        <v>55.56</v>
      </c>
      <c r="C25" s="18">
        <f>AVERAGEIFS(Data!$S$2:$S$236,Data!$B$2:$B$236,A25)</f>
        <v>1.75</v>
      </c>
      <c r="D25" s="4">
        <f>SUMIFS(Data!$S$2:$S$236,Data!$B$2:$B$236,A25)</f>
        <v>70</v>
      </c>
    </row>
    <row r="28">
      <c r="A28" s="3" t="inlineStr">
        <is>
          <t>Top-10 defect modules vs all other modules</t>
        </is>
      </c>
    </row>
    <row r="29">
      <c r="A29" s="4" t="inlineStr">
        <is>
          <t>Avg coverage (%), top-10 defect modules</t>
        </is>
      </c>
      <c r="B29" s="29">
        <f>AVERAGEIFS(Modules!$H$2:$H$48,Modules!$M$2:$M$48,"&lt;=10")</f>
        <v>49.167</v>
      </c>
    </row>
    <row r="30">
      <c r="A30" s="4" t="inlineStr">
        <is>
          <t>Avg coverage (%), other modules</t>
        </is>
      </c>
      <c r="B30" s="29">
        <f>AVERAGEIFS(Modules!$H$2:$H$48,Modules!$M$2:$M$48,"&gt;10")</f>
        <v>67.177027027027</v>
      </c>
    </row>
    <row r="31">
      <c r="A31" s="16" t="inlineStr">
        <is>
          <t>Gap (percentage points)</t>
        </is>
      </c>
      <c r="B31" s="35">
        <f>B30-B29</f>
        <v>18.010027027027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16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Q5. Which components show repeated defects?</t>
        </is>
      </c>
    </row>
    <row r="2">
      <c r="A2" s="2" t="inlineStr">
        <is>
          <t>Total defects by component and release, plus repeat-defect modules (defects in 4 or more of the 5 releases).</t>
        </is>
      </c>
    </row>
    <row r="3">
      <c r="A3" s="3" t="inlineStr">
        <is>
          <t>Total defects by component and release</t>
        </is>
      </c>
    </row>
    <row r="4">
      <c r="A4" s="7" t="inlineStr">
        <is>
          <t>Component</t>
        </is>
      </c>
      <c r="B4" s="7" t="inlineStr">
        <is>
          <t>v1.0</t>
        </is>
      </c>
      <c r="C4" s="7" t="inlineStr">
        <is>
          <t>v1.1</t>
        </is>
      </c>
      <c r="D4" s="7" t="inlineStr">
        <is>
          <t>v2.0</t>
        </is>
      </c>
      <c r="E4" s="7" t="inlineStr">
        <is>
          <t>v2.1</t>
        </is>
      </c>
      <c r="F4" s="7" t="inlineStr">
        <is>
          <t>v3.0</t>
        </is>
      </c>
      <c r="G4" s="7" t="inlineStr">
        <is>
          <t>Total</t>
        </is>
      </c>
    </row>
    <row r="5">
      <c r="A5" s="4" t="inlineStr">
        <is>
          <t>API</t>
        </is>
      </c>
      <c r="B5" s="4">
        <f>SUMIFS(Data!$S$2:$S$236,Data!$B$2:$B$236,$A5,Data!$D$2:$D$236,B$4)</f>
        <v>17</v>
      </c>
      <c r="C5" s="4">
        <f>SUMIFS(Data!$S$2:$S$236,Data!$B$2:$B$236,$A5,Data!$D$2:$D$236,C$4)</f>
        <v>3</v>
      </c>
      <c r="D5" s="4">
        <f>SUMIFS(Data!$S$2:$S$236,Data!$B$2:$B$236,$A5,Data!$D$2:$D$236,D$4)</f>
        <v>12</v>
      </c>
      <c r="E5" s="4">
        <f>SUMIFS(Data!$S$2:$S$236,Data!$B$2:$B$236,$A5,Data!$D$2:$D$236,E$4)</f>
        <v>3</v>
      </c>
      <c r="F5" s="4">
        <f>SUMIFS(Data!$S$2:$S$236,Data!$B$2:$B$236,$A5,Data!$D$2:$D$236,F$4)</f>
        <v>15</v>
      </c>
      <c r="G5" s="16">
        <f>SUM(B5:F5)</f>
        <v>50</v>
      </c>
    </row>
    <row r="6">
      <c r="A6" s="4" t="inlineStr">
        <is>
          <t>Auth</t>
        </is>
      </c>
      <c r="B6" s="4">
        <f>SUMIFS(Data!$S$2:$S$236,Data!$B$2:$B$236,$A6,Data!$D$2:$D$236,B$4)</f>
        <v>10</v>
      </c>
      <c r="C6" s="4">
        <f>SUMIFS(Data!$S$2:$S$236,Data!$B$2:$B$236,$A6,Data!$D$2:$D$236,C$4)</f>
        <v>4</v>
      </c>
      <c r="D6" s="4">
        <f>SUMIFS(Data!$S$2:$S$236,Data!$B$2:$B$236,$A6,Data!$D$2:$D$236,D$4)</f>
        <v>6</v>
      </c>
      <c r="E6" s="4">
        <f>SUMIFS(Data!$S$2:$S$236,Data!$B$2:$B$236,$A6,Data!$D$2:$D$236,E$4)</f>
        <v>9</v>
      </c>
      <c r="F6" s="4">
        <f>SUMIFS(Data!$S$2:$S$236,Data!$B$2:$B$236,$A6,Data!$D$2:$D$236,F$4)</f>
        <v>2</v>
      </c>
      <c r="G6" s="16">
        <f>SUM(B6:F6)</f>
        <v>31</v>
      </c>
    </row>
    <row r="7">
      <c r="A7" s="4" t="inlineStr">
        <is>
          <t>Database</t>
        </is>
      </c>
      <c r="B7" s="4">
        <f>SUMIFS(Data!$S$2:$S$236,Data!$B$2:$B$236,$A7,Data!$D$2:$D$236,B$4)</f>
        <v>8</v>
      </c>
      <c r="C7" s="4">
        <f>SUMIFS(Data!$S$2:$S$236,Data!$B$2:$B$236,$A7,Data!$D$2:$D$236,C$4)</f>
        <v>8</v>
      </c>
      <c r="D7" s="4">
        <f>SUMIFS(Data!$S$2:$S$236,Data!$B$2:$B$236,$A7,Data!$D$2:$D$236,D$4)</f>
        <v>6</v>
      </c>
      <c r="E7" s="4">
        <f>SUMIFS(Data!$S$2:$S$236,Data!$B$2:$B$236,$A7,Data!$D$2:$D$236,E$4)</f>
        <v>7</v>
      </c>
      <c r="F7" s="4">
        <f>SUMIFS(Data!$S$2:$S$236,Data!$B$2:$B$236,$A7,Data!$D$2:$D$236,F$4)</f>
        <v>7</v>
      </c>
      <c r="G7" s="16">
        <f>SUM(B7:F7)</f>
        <v>36</v>
      </c>
    </row>
    <row r="8">
      <c r="A8" s="4" t="inlineStr">
        <is>
          <t>Payments</t>
        </is>
      </c>
      <c r="B8" s="4">
        <f>SUMIFS(Data!$S$2:$S$236,Data!$B$2:$B$236,$A8,Data!$D$2:$D$236,B$4)</f>
        <v>19</v>
      </c>
      <c r="C8" s="4">
        <f>SUMIFS(Data!$S$2:$S$236,Data!$B$2:$B$236,$A8,Data!$D$2:$D$236,C$4)</f>
        <v>11</v>
      </c>
      <c r="D8" s="4">
        <f>SUMIFS(Data!$S$2:$S$236,Data!$B$2:$B$236,$A8,Data!$D$2:$D$236,D$4)</f>
        <v>11</v>
      </c>
      <c r="E8" s="4">
        <f>SUMIFS(Data!$S$2:$S$236,Data!$B$2:$B$236,$A8,Data!$D$2:$D$236,E$4)</f>
        <v>3</v>
      </c>
      <c r="F8" s="4">
        <f>SUMIFS(Data!$S$2:$S$236,Data!$B$2:$B$236,$A8,Data!$D$2:$D$236,F$4)</f>
        <v>11</v>
      </c>
      <c r="G8" s="16">
        <f>SUM(B8:F8)</f>
        <v>55</v>
      </c>
    </row>
    <row r="9">
      <c r="A9" s="4" t="inlineStr">
        <is>
          <t>Reporting</t>
        </is>
      </c>
      <c r="B9" s="4">
        <f>SUMIFS(Data!$S$2:$S$236,Data!$B$2:$B$236,$A9,Data!$D$2:$D$236,B$4)</f>
        <v>7</v>
      </c>
      <c r="C9" s="4">
        <f>SUMIFS(Data!$S$2:$S$236,Data!$B$2:$B$236,$A9,Data!$D$2:$D$236,C$4)</f>
        <v>11</v>
      </c>
      <c r="D9" s="4">
        <f>SUMIFS(Data!$S$2:$S$236,Data!$B$2:$B$236,$A9,Data!$D$2:$D$236,D$4)</f>
        <v>5</v>
      </c>
      <c r="E9" s="4">
        <f>SUMIFS(Data!$S$2:$S$236,Data!$B$2:$B$236,$A9,Data!$D$2:$D$236,E$4)</f>
        <v>8</v>
      </c>
      <c r="F9" s="4">
        <f>SUMIFS(Data!$S$2:$S$236,Data!$B$2:$B$236,$A9,Data!$D$2:$D$236,F$4)</f>
        <v>12</v>
      </c>
      <c r="G9" s="16">
        <f>SUM(B9:F9)</f>
        <v>43</v>
      </c>
    </row>
    <row r="10">
      <c r="A10" s="4" t="inlineStr">
        <is>
          <t>UI</t>
        </is>
      </c>
      <c r="B10" s="4">
        <f>SUMIFS(Data!$S$2:$S$236,Data!$B$2:$B$236,$A10,Data!$D$2:$D$236,B$4)</f>
        <v>27</v>
      </c>
      <c r="C10" s="4">
        <f>SUMIFS(Data!$S$2:$S$236,Data!$B$2:$B$236,$A10,Data!$D$2:$D$236,C$4)</f>
        <v>16</v>
      </c>
      <c r="D10" s="4">
        <f>SUMIFS(Data!$S$2:$S$236,Data!$B$2:$B$236,$A10,Data!$D$2:$D$236,D$4)</f>
        <v>10</v>
      </c>
      <c r="E10" s="4">
        <f>SUMIFS(Data!$S$2:$S$236,Data!$B$2:$B$236,$A10,Data!$D$2:$D$236,E$4)</f>
        <v>7</v>
      </c>
      <c r="F10" s="4">
        <f>SUMIFS(Data!$S$2:$S$236,Data!$B$2:$B$236,$A10,Data!$D$2:$D$236,F$4)</f>
        <v>10</v>
      </c>
      <c r="G10" s="16">
        <f>SUM(B10:F10)</f>
        <v>70</v>
      </c>
    </row>
    <row r="11">
      <c r="A11" s="16" t="inlineStr">
        <is>
          <t>All components</t>
        </is>
      </c>
      <c r="B11" s="16">
        <f>SUM(B5:B10)</f>
        <v>88</v>
      </c>
      <c r="C11" s="16">
        <f>SUM(C5:C10)</f>
        <v>53</v>
      </c>
      <c r="D11" s="16">
        <f>SUM(D5:D10)</f>
        <v>50</v>
      </c>
      <c r="E11" s="16">
        <f>SUM(E5:E10)</f>
        <v>37</v>
      </c>
      <c r="F11" s="16">
        <f>SUM(F5:F10)</f>
        <v>57</v>
      </c>
      <c r="G11" s="16">
        <f>SUM(G5:G10)</f>
        <v>285</v>
      </c>
    </row>
    <row r="12">
      <c r="A12" s="2" t="inlineStr">
        <is>
          <t>Change vs previous release</t>
        </is>
      </c>
      <c r="C12" s="23">
        <f>C11/B11-1</f>
        <v>-0.397727272727273</v>
      </c>
      <c r="D12" s="23">
        <f>D11/C11-1</f>
        <v>-0.0566037735849057</v>
      </c>
      <c r="E12" s="23">
        <f>E11/D11-1</f>
        <v>-0.26</v>
      </c>
      <c r="F12" s="23">
        <f>F11/E11-1</f>
        <v>0.540540540540541</v>
      </c>
    </row>
    <row r="15">
      <c r="A15" s="3" t="inlineStr">
        <is>
          <t>Repeat-defect modules by component (defects in 4 or more of 5 releases)</t>
        </is>
      </c>
    </row>
    <row r="16" ht="30" customHeight="1">
      <c r="A16" s="7" t="inlineStr">
        <is>
          <t>Component</t>
        </is>
      </c>
      <c r="B16" s="7" t="inlineStr">
        <is>
          <t>Modules</t>
        </is>
      </c>
      <c r="C16" s="7" t="inlineStr">
        <is>
          <t>Repeat-defect modules</t>
        </is>
      </c>
      <c r="D16" s="7" t="inlineStr">
        <is>
          <t>Share of modules</t>
        </is>
      </c>
    </row>
    <row r="17">
      <c r="A17" s="4" t="inlineStr">
        <is>
          <t>API</t>
        </is>
      </c>
      <c r="B17" s="4">
        <f>COUNTIF(Modules!$B$2:$B$48,A17)</f>
        <v>8</v>
      </c>
      <c r="C17" s="4">
        <f>COUNTIFS(Modules!$B$2:$B$48,A17,Modules!$L$2:$L$48,1)</f>
        <v>2</v>
      </c>
      <c r="D17" s="24">
        <f>C17/B17</f>
        <v>0.25</v>
      </c>
    </row>
    <row r="18">
      <c r="A18" s="4" t="inlineStr">
        <is>
          <t>Auth</t>
        </is>
      </c>
      <c r="B18" s="4">
        <f>COUNTIF(Modules!$B$2:$B$48,A18)</f>
        <v>8</v>
      </c>
      <c r="C18" s="4">
        <f>COUNTIFS(Modules!$B$2:$B$48,A18,Modules!$L$2:$L$48,1)</f>
        <v>1</v>
      </c>
      <c r="D18" s="24">
        <f>C18/B18</f>
        <v>0.125</v>
      </c>
    </row>
    <row r="19">
      <c r="A19" s="4" t="inlineStr">
        <is>
          <t>Database</t>
        </is>
      </c>
      <c r="B19" s="4">
        <f>COUNTIF(Modules!$B$2:$B$48,A19)</f>
        <v>7</v>
      </c>
      <c r="C19" s="4">
        <f>COUNTIFS(Modules!$B$2:$B$48,A19,Modules!$L$2:$L$48,1)</f>
        <v>3</v>
      </c>
      <c r="D19" s="24">
        <f>C19/B19</f>
        <v>0.428571428571429</v>
      </c>
    </row>
    <row r="20">
      <c r="A20" s="4" t="inlineStr">
        <is>
          <t>Payments</t>
        </is>
      </c>
      <c r="B20" s="4">
        <f>COUNTIF(Modules!$B$2:$B$48,A20)</f>
        <v>8</v>
      </c>
      <c r="C20" s="4">
        <f>COUNTIFS(Modules!$B$2:$B$48,A20,Modules!$L$2:$L$48,1)</f>
        <v>3</v>
      </c>
      <c r="D20" s="24">
        <f>C20/B20</f>
        <v>0.375</v>
      </c>
    </row>
    <row r="21">
      <c r="A21" s="4" t="inlineStr">
        <is>
          <t>Reporting</t>
        </is>
      </c>
      <c r="B21" s="4">
        <f>COUNTIF(Modules!$B$2:$B$48,A21)</f>
        <v>8</v>
      </c>
      <c r="C21" s="4">
        <f>COUNTIFS(Modules!$B$2:$B$48,A21,Modules!$L$2:$L$48,1)</f>
        <v>3</v>
      </c>
      <c r="D21" s="24">
        <f>C21/B21</f>
        <v>0.375</v>
      </c>
    </row>
    <row r="22">
      <c r="A22" s="4" t="inlineStr">
        <is>
          <t>UI</t>
        </is>
      </c>
      <c r="B22" s="4">
        <f>COUNTIF(Modules!$B$2:$B$48,A22)</f>
        <v>8</v>
      </c>
      <c r="C22" s="4">
        <f>COUNTIFS(Modules!$B$2:$B$48,A22,Modules!$L$2:$L$48,1)</f>
        <v>4</v>
      </c>
      <c r="D22" s="24">
        <f>C22/B22</f>
        <v>0.5</v>
      </c>
    </row>
    <row r="23">
      <c r="A23" s="16" t="inlineStr">
        <is>
          <t>All components</t>
        </is>
      </c>
      <c r="B23" s="16">
        <f>SUM(B17:B22)</f>
        <v>47</v>
      </c>
      <c r="C23" s="16">
        <f>SUM(C17:C22)</f>
        <v>16</v>
      </c>
      <c r="D23" s="25">
        <f>C23/B23</f>
        <v>0.340425531914894</v>
      </c>
    </row>
    <row r="26">
      <c r="A26" s="3" t="inlineStr">
        <is>
          <t>Modules by number of releases with defects</t>
        </is>
      </c>
    </row>
    <row r="27">
      <c r="A27" s="7" t="inlineStr">
        <is>
          <t>Releases with defects</t>
        </is>
      </c>
      <c r="B27" s="7" t="inlineStr">
        <is>
          <t>Modules</t>
        </is>
      </c>
    </row>
    <row r="28">
      <c r="A28" s="4" t="n">
        <v>0</v>
      </c>
      <c r="B28" s="4">
        <f>COUNTIF(Modules!$J$2:$J$48,A28)</f>
        <v>6</v>
      </c>
    </row>
    <row r="29">
      <c r="A29" s="4" t="n">
        <v>1</v>
      </c>
      <c r="B29" s="4">
        <f>COUNTIF(Modules!$J$2:$J$48,A29)</f>
        <v>6</v>
      </c>
    </row>
    <row r="30">
      <c r="A30" s="4" t="n">
        <v>2</v>
      </c>
      <c r="B30" s="4">
        <f>COUNTIF(Modules!$J$2:$J$48,A30)</f>
        <v>13</v>
      </c>
    </row>
    <row r="31">
      <c r="A31" s="4" t="n">
        <v>3</v>
      </c>
      <c r="B31" s="4">
        <f>COUNTIF(Modules!$J$2:$J$48,A31)</f>
        <v>6</v>
      </c>
    </row>
    <row r="32">
      <c r="A32" s="4" t="n">
        <v>4</v>
      </c>
      <c r="B32" s="4">
        <f>COUNTIF(Modules!$J$2:$J$48,A32)</f>
        <v>10</v>
      </c>
    </row>
    <row r="33">
      <c r="A33" s="4" t="n">
        <v>5</v>
      </c>
      <c r="B33" s="4">
        <f>COUNTIF(Modules!$J$2:$J$48,A33)</f>
        <v>6</v>
      </c>
    </row>
  </sheetData>
  <conditionalFormatting sqref="B5:F10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5" customWidth="1" min="4" max="4"/>
    <col width="20" customWidth="1" min="5" max="5"/>
  </cols>
  <sheetData>
    <row r="1">
      <c r="A1" s="1" t="inlineStr">
        <is>
          <t>Q6. Does contributor count relate to defect frequency?</t>
        </is>
      </c>
    </row>
    <row r="2">
      <c r="A2" s="2" t="inlineStr">
        <is>
          <t>Defects rise with contributors, but contributors move with overall activity (commits, churn).</t>
        </is>
      </c>
    </row>
    <row r="3">
      <c r="A3" s="3" t="inlineStr">
        <is>
          <t>Relationship statistics</t>
        </is>
      </c>
    </row>
    <row r="4">
      <c r="A4" s="4" t="inlineStr">
        <is>
          <t>Correlation: contributors vs defects</t>
        </is>
      </c>
      <c r="B4" s="18">
        <f>CORREL(Data!$M$2:$M$236,Data!$S$2:$S$236)</f>
        <v>0.513727339453784</v>
      </c>
    </row>
    <row r="5">
      <c r="A5" s="4" t="inlineStr">
        <is>
          <t>R-squared</t>
        </is>
      </c>
      <c r="B5" s="18">
        <f>RSQ(Data!$S$2:$S$236,Data!$M$2:$M$236)</f>
        <v>0.263915779302263</v>
      </c>
    </row>
    <row r="6">
      <c r="A6" s="4" t="inlineStr">
        <is>
          <t>Correlation: contributors vs commit count</t>
        </is>
      </c>
      <c r="B6" s="18">
        <f>CORREL(Data!$M$2:$M$236,Data!$L$2:$L$236)</f>
        <v>0.877190687862402</v>
      </c>
    </row>
    <row r="7">
      <c r="A7" s="4" t="inlineStr">
        <is>
          <t>Correlation: contributors vs churn</t>
        </is>
      </c>
      <c r="B7" s="18">
        <f>CORREL(Data!$M$2:$M$236,Data!$J$2:$J$236)</f>
        <v>0.791025469775353</v>
      </c>
    </row>
    <row r="8">
      <c r="A8" s="4" t="inlineStr">
        <is>
          <t>Correlation: churn vs defects (for comparison)</t>
        </is>
      </c>
      <c r="B8" s="18">
        <f>CORREL(Data!$J$2:$J$236,Data!$S$2:$S$236)</f>
        <v>0.645171397869014</v>
      </c>
    </row>
    <row r="11">
      <c r="A11" s="3" t="inlineStr">
        <is>
          <t>Average defects by contributor group</t>
        </is>
      </c>
    </row>
    <row r="12" ht="30" customHeight="1">
      <c r="A12" s="7" t="inlineStr">
        <is>
          <t>Contributor group</t>
        </is>
      </c>
      <c r="B12" s="7" t="inlineStr">
        <is>
          <t>Min contributors</t>
        </is>
      </c>
      <c r="C12" s="7" t="inlineStr">
        <is>
          <t>Max contributors</t>
        </is>
      </c>
      <c r="D12" s="7" t="inlineStr">
        <is>
          <t>Module-releases</t>
        </is>
      </c>
      <c r="E12" s="7" t="inlineStr">
        <is>
          <t>Avg defects per release</t>
        </is>
      </c>
    </row>
    <row r="13">
      <c r="A13" s="4" t="inlineStr">
        <is>
          <t>1-2</t>
        </is>
      </c>
      <c r="B13" s="4" t="n">
        <v>1</v>
      </c>
      <c r="C13" s="4" t="n">
        <v>2</v>
      </c>
      <c r="D13" s="4">
        <f>COUNTIFS(Data!$M$2:$M$236,"&gt;="&amp;B13,Data!$M$2:$M$236,"&lt;="&amp;C13)</f>
        <v>79</v>
      </c>
      <c r="E13" s="18">
        <f>AVERAGEIFS(Data!$S$2:$S$236,Data!$M$2:$M$236,"&gt;="&amp;B13,Data!$M$2:$M$236,"&lt;="&amp;C13)</f>
        <v>0.493670886075949</v>
      </c>
    </row>
    <row r="14">
      <c r="A14" s="4" t="inlineStr">
        <is>
          <t>3-4</t>
        </is>
      </c>
      <c r="B14" s="4" t="n">
        <v>3</v>
      </c>
      <c r="C14" s="4" t="n">
        <v>4</v>
      </c>
      <c r="D14" s="4">
        <f>COUNTIFS(Data!$M$2:$M$236,"&gt;="&amp;B14,Data!$M$2:$M$236,"&lt;="&amp;C14)</f>
        <v>108</v>
      </c>
      <c r="E14" s="18">
        <f>AVERAGEIFS(Data!$S$2:$S$236,Data!$M$2:$M$236,"&gt;="&amp;B14,Data!$M$2:$M$236,"&lt;="&amp;C14)</f>
        <v>1.0462962962963</v>
      </c>
    </row>
    <row r="15">
      <c r="A15" s="4" t="inlineStr">
        <is>
          <t>5-6</t>
        </is>
      </c>
      <c r="B15" s="4" t="n">
        <v>5</v>
      </c>
      <c r="C15" s="4" t="n">
        <v>6</v>
      </c>
      <c r="D15" s="4">
        <f>COUNTIFS(Data!$M$2:$M$236,"&gt;="&amp;B15,Data!$M$2:$M$236,"&lt;="&amp;C15)</f>
        <v>41</v>
      </c>
      <c r="E15" s="18">
        <f>AVERAGEIFS(Data!$S$2:$S$236,Data!$M$2:$M$236,"&gt;="&amp;B15,Data!$M$2:$M$236,"&lt;="&amp;C15)</f>
        <v>2.21951219512195</v>
      </c>
    </row>
    <row r="16">
      <c r="A16" s="4" t="inlineStr">
        <is>
          <t>7+</t>
        </is>
      </c>
      <c r="B16" s="4" t="n">
        <v>7</v>
      </c>
      <c r="C16" s="4" t="n">
        <v>99</v>
      </c>
      <c r="D16" s="4">
        <f>COUNTIFS(Data!$M$2:$M$236,"&gt;="&amp;B16,Data!$M$2:$M$236,"&lt;="&amp;C16)</f>
        <v>7</v>
      </c>
      <c r="E16" s="18">
        <f>AVERAGEIFS(Data!$S$2:$S$236,Data!$M$2:$M$236,"&gt;="&amp;B16,Data!$M$2:$M$236,"&lt;="&amp;C16)</f>
        <v>6</v>
      </c>
    </row>
    <row r="18">
      <c r="A18" s="2" t="inlineStr">
        <is>
          <t>Note: the 7+ group has very few rows, so its average is not reliable. Contributors correlate strongly with commits and churn, so the link is mostly activity volume.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Which metrics are associated with defects?</t>
        </is>
      </c>
    </row>
    <row r="2">
      <c r="A2" s="2" t="inlineStr">
        <is>
          <t>Pearson correlations by formula; Spearman values are imported from the Python notebook.</t>
        </is>
      </c>
    </row>
    <row r="3">
      <c r="A3" s="3" t="inlineStr">
        <is>
          <t>Correlation of each metric with total defects</t>
        </is>
      </c>
    </row>
    <row r="4" ht="30" customHeight="1">
      <c r="A4" s="7" t="inlineStr">
        <is>
          <t>Metric</t>
        </is>
      </c>
      <c r="B4" s="7" t="inlineStr">
        <is>
          <t>Pearson r (formula)</t>
        </is>
      </c>
      <c r="C4" s="7" t="inlineStr">
        <is>
          <t>Spearman r (from notebook)</t>
        </is>
      </c>
    </row>
    <row r="5">
      <c r="A5" s="4" t="inlineStr">
        <is>
          <t>churn</t>
        </is>
      </c>
      <c r="B5" s="18">
        <f>CORREL(Data!$J$2:$J$236,Data!$S$2:$S$236)</f>
        <v>0.645171397869014</v>
      </c>
      <c r="C5" s="18" t="n">
        <v>0.41</v>
      </c>
    </row>
    <row r="6">
      <c r="A6" s="4" t="inlineStr">
        <is>
          <t>changed_lines</t>
        </is>
      </c>
      <c r="B6" s="18">
        <f>CORREL(Data!$N$2:$N$236,Data!$S$2:$S$236)</f>
        <v>0.650980981586654</v>
      </c>
      <c r="C6" s="18" t="n">
        <v>0.41</v>
      </c>
    </row>
    <row r="7">
      <c r="A7" s="4" t="inlineStr">
        <is>
          <t>commit_count</t>
        </is>
      </c>
      <c r="B7" s="18">
        <f>CORREL(Data!$L$2:$L$236,Data!$S$2:$S$236)</f>
        <v>0.613809146438554</v>
      </c>
      <c r="C7" s="18" t="n">
        <v>0.36</v>
      </c>
    </row>
    <row r="8">
      <c r="A8" s="4" t="inlineStr">
        <is>
          <t>contributors</t>
        </is>
      </c>
      <c r="B8" s="18">
        <f>CORREL(Data!$M$2:$M$236,Data!$S$2:$S$236)</f>
        <v>0.513727339453784</v>
      </c>
      <c r="C8" s="18" t="n">
        <v>0.38</v>
      </c>
    </row>
    <row r="9">
      <c r="A9" s="4" t="inlineStr">
        <is>
          <t>complexity</t>
        </is>
      </c>
      <c r="B9" s="18">
        <f>CORREL(Data!$H$2:$H$236,Data!$S$2:$S$236)</f>
        <v>0.345525462055353</v>
      </c>
      <c r="C9" s="18" t="n">
        <v>0.4</v>
      </c>
    </row>
    <row r="10">
      <c r="A10" s="4" t="inlineStr">
        <is>
          <t>coupling</t>
        </is>
      </c>
      <c r="B10" s="18">
        <f>CORREL(Data!$I$2:$I$236,Data!$S$2:$S$236)</f>
        <v>0.343254774746236</v>
      </c>
      <c r="C10" s="18" t="n">
        <v>0.4</v>
      </c>
    </row>
    <row r="11">
      <c r="A11" s="4" t="inlineStr">
        <is>
          <t>size</t>
        </is>
      </c>
      <c r="B11" s="18">
        <f>CORREL(Data!$G$2:$G$236,Data!$S$2:$S$236)</f>
        <v>0.244564919894825</v>
      </c>
      <c r="C11" s="18" t="n">
        <v>0.11</v>
      </c>
    </row>
    <row r="12">
      <c r="A12" s="4" t="inlineStr">
        <is>
          <t>test_coverage</t>
        </is>
      </c>
      <c r="B12" s="18">
        <f>CORREL(Data!$K$2:$K$236,Data!$S$2:$S$236)</f>
        <v>-0.392213545932308</v>
      </c>
      <c r="C12" s="18" t="n">
        <v>-0.39</v>
      </c>
    </row>
    <row r="16">
      <c r="A16" s="3" t="inlineStr">
        <is>
          <t>Correlation matrix (Pearson)</t>
        </is>
      </c>
    </row>
    <row r="17" ht="30" customHeight="1">
      <c r="A17" s="7" t="inlineStr">
        <is>
          <t>Metric</t>
        </is>
      </c>
      <c r="B17" s="7" t="inlineStr">
        <is>
          <t>complexity</t>
        </is>
      </c>
      <c r="C17" s="7" t="inlineStr">
        <is>
          <t>coupling</t>
        </is>
      </c>
      <c r="D17" s="7" t="inlineStr">
        <is>
          <t>churn</t>
        </is>
      </c>
      <c r="E17" s="7" t="inlineStr">
        <is>
          <t>test_coverage</t>
        </is>
      </c>
      <c r="F17" s="7" t="inlineStr">
        <is>
          <t>contributors</t>
        </is>
      </c>
      <c r="G17" s="7" t="inlineStr">
        <is>
          <t>commit_count</t>
        </is>
      </c>
      <c r="H17" s="7" t="inlineStr">
        <is>
          <t>changed_lines</t>
        </is>
      </c>
      <c r="I17" s="7" t="inlineStr">
        <is>
          <t>size</t>
        </is>
      </c>
      <c r="J17" s="7" t="inlineStr">
        <is>
          <t>total_defects</t>
        </is>
      </c>
    </row>
    <row r="18">
      <c r="A18" s="16" t="inlineStr">
        <is>
          <t>complexity</t>
        </is>
      </c>
      <c r="B18" s="26">
        <f>CORREL(Data!$H$2:$H$236,Data!$H$2:$H$236)</f>
        <v>1</v>
      </c>
      <c r="C18" s="26">
        <f>CORREL(Data!$H$2:$H$236,Data!$I$2:$I$236)</f>
        <v>0.817746803741618</v>
      </c>
      <c r="D18" s="26">
        <f>CORREL(Data!$H$2:$H$236,Data!$J$2:$J$236)</f>
        <v>0.151905114792197</v>
      </c>
      <c r="E18" s="26">
        <f>CORREL(Data!$H$2:$H$236,Data!$K$2:$K$236)</f>
        <v>-0.316595656532209</v>
      </c>
      <c r="F18" s="26">
        <f>CORREL(Data!$H$2:$H$236,Data!$M$2:$M$236)</f>
        <v>0.0875853584645859</v>
      </c>
      <c r="G18" s="26">
        <f>CORREL(Data!$H$2:$H$236,Data!$L$2:$L$236)</f>
        <v>0.13393407440791</v>
      </c>
      <c r="H18" s="26">
        <f>CORREL(Data!$H$2:$H$236,Data!$N$2:$N$236)</f>
        <v>0.1680562375116</v>
      </c>
      <c r="I18" s="26">
        <f>CORREL(Data!$H$2:$H$236,Data!$G$2:$G$236)</f>
        <v>-0.117574056723282</v>
      </c>
      <c r="J18" s="26">
        <f>CORREL(Data!$H$2:$H$236,Data!$S$2:$S$236)</f>
        <v>0.345525462055353</v>
      </c>
    </row>
    <row r="19">
      <c r="A19" s="16" t="inlineStr">
        <is>
          <t>coupling</t>
        </is>
      </c>
      <c r="B19" s="26">
        <f>CORREL(Data!$I$2:$I$236,Data!$H$2:$H$236)</f>
        <v>0.817746803741618</v>
      </c>
      <c r="C19" s="26">
        <f>CORREL(Data!$I$2:$I$236,Data!$I$2:$I$236)</f>
        <v>1</v>
      </c>
      <c r="D19" s="26">
        <f>CORREL(Data!$I$2:$I$236,Data!$J$2:$J$236)</f>
        <v>0.218935889091419</v>
      </c>
      <c r="E19" s="26">
        <f>CORREL(Data!$I$2:$I$236,Data!$K$2:$K$236)</f>
        <v>-0.295782215209562</v>
      </c>
      <c r="F19" s="26">
        <f>CORREL(Data!$I$2:$I$236,Data!$M$2:$M$236)</f>
        <v>0.126190604023689</v>
      </c>
      <c r="G19" s="26">
        <f>CORREL(Data!$I$2:$I$236,Data!$L$2:$L$236)</f>
        <v>0.188995192182883</v>
      </c>
      <c r="H19" s="26">
        <f>CORREL(Data!$I$2:$I$236,Data!$N$2:$N$236)</f>
        <v>0.237590384112802</v>
      </c>
      <c r="I19" s="26">
        <f>CORREL(Data!$I$2:$I$236,Data!$G$2:$G$236)</f>
        <v>-0.0876155711438852</v>
      </c>
      <c r="J19" s="26">
        <f>CORREL(Data!$I$2:$I$236,Data!$S$2:$S$236)</f>
        <v>0.343254774746236</v>
      </c>
    </row>
    <row r="20">
      <c r="A20" s="16" t="inlineStr">
        <is>
          <t>churn</t>
        </is>
      </c>
      <c r="B20" s="26">
        <f>CORREL(Data!$J$2:$J$236,Data!$H$2:$H$236)</f>
        <v>0.151905114792197</v>
      </c>
      <c r="C20" s="26">
        <f>CORREL(Data!$J$2:$J$236,Data!$I$2:$I$236)</f>
        <v>0.218935889091419</v>
      </c>
      <c r="D20" s="26">
        <f>CORREL(Data!$J$2:$J$236,Data!$J$2:$J$236)</f>
        <v>1</v>
      </c>
      <c r="E20" s="26">
        <f>CORREL(Data!$J$2:$J$236,Data!$K$2:$K$236)</f>
        <v>-0.262449656368862</v>
      </c>
      <c r="F20" s="26">
        <f>CORREL(Data!$J$2:$J$236,Data!$M$2:$M$236)</f>
        <v>0.791025469775353</v>
      </c>
      <c r="G20" s="26">
        <f>CORREL(Data!$J$2:$J$236,Data!$L$2:$L$236)</f>
        <v>0.890482696172951</v>
      </c>
      <c r="H20" s="26">
        <f>CORREL(Data!$J$2:$J$236,Data!$N$2:$N$236)</f>
        <v>0.929069058691829</v>
      </c>
      <c r="I20" s="26">
        <f>CORREL(Data!$J$2:$J$236,Data!$G$2:$G$236)</f>
        <v>0.268095118128139</v>
      </c>
      <c r="J20" s="26">
        <f>CORREL(Data!$J$2:$J$236,Data!$S$2:$S$236)</f>
        <v>0.645171397869014</v>
      </c>
    </row>
    <row r="21">
      <c r="A21" s="16" t="inlineStr">
        <is>
          <t>test_coverage</t>
        </is>
      </c>
      <c r="B21" s="26">
        <f>CORREL(Data!$K$2:$K$236,Data!$H$2:$H$236)</f>
        <v>-0.316595656532209</v>
      </c>
      <c r="C21" s="26">
        <f>CORREL(Data!$K$2:$K$236,Data!$I$2:$I$236)</f>
        <v>-0.295782215209562</v>
      </c>
      <c r="D21" s="26">
        <f>CORREL(Data!$K$2:$K$236,Data!$J$2:$J$236)</f>
        <v>-0.262449656368862</v>
      </c>
      <c r="E21" s="26">
        <f>CORREL(Data!$K$2:$K$236,Data!$K$2:$K$236)</f>
        <v>1</v>
      </c>
      <c r="F21" s="26">
        <f>CORREL(Data!$K$2:$K$236,Data!$M$2:$M$236)</f>
        <v>-0.124916743561706</v>
      </c>
      <c r="G21" s="26">
        <f>CORREL(Data!$K$2:$K$236,Data!$L$2:$L$236)</f>
        <v>-0.221228220283485</v>
      </c>
      <c r="H21" s="26">
        <f>CORREL(Data!$K$2:$K$236,Data!$N$2:$N$236)</f>
        <v>-0.212164959105873</v>
      </c>
      <c r="I21" s="26">
        <f>CORREL(Data!$K$2:$K$236,Data!$G$2:$G$236)</f>
        <v>-0.184440991029345</v>
      </c>
      <c r="J21" s="26">
        <f>CORREL(Data!$K$2:$K$236,Data!$S$2:$S$236)</f>
        <v>-0.392213545932308</v>
      </c>
    </row>
    <row r="22">
      <c r="A22" s="16" t="inlineStr">
        <is>
          <t>contributors</t>
        </is>
      </c>
      <c r="B22" s="26">
        <f>CORREL(Data!$M$2:$M$236,Data!$H$2:$H$236)</f>
        <v>0.0875853584645859</v>
      </c>
      <c r="C22" s="26">
        <f>CORREL(Data!$M$2:$M$236,Data!$I$2:$I$236)</f>
        <v>0.126190604023689</v>
      </c>
      <c r="D22" s="26">
        <f>CORREL(Data!$M$2:$M$236,Data!$J$2:$J$236)</f>
        <v>0.791025469775353</v>
      </c>
      <c r="E22" s="26">
        <f>CORREL(Data!$M$2:$M$236,Data!$K$2:$K$236)</f>
        <v>-0.124916743561706</v>
      </c>
      <c r="F22" s="26">
        <f>CORREL(Data!$M$2:$M$236,Data!$M$2:$M$236)</f>
        <v>1</v>
      </c>
      <c r="G22" s="26">
        <f>CORREL(Data!$M$2:$M$236,Data!$L$2:$L$236)</f>
        <v>0.877190687862402</v>
      </c>
      <c r="H22" s="26">
        <f>CORREL(Data!$M$2:$M$236,Data!$N$2:$N$236)</f>
        <v>0.802019550797218</v>
      </c>
      <c r="I22" s="26">
        <f>CORREL(Data!$M$2:$M$236,Data!$G$2:$G$236)</f>
        <v>0.167000654655041</v>
      </c>
      <c r="J22" s="26">
        <f>CORREL(Data!$M$2:$M$236,Data!$S$2:$S$236)</f>
        <v>0.513727339453784</v>
      </c>
    </row>
    <row r="23">
      <c r="A23" s="16" t="inlineStr">
        <is>
          <t>commit_count</t>
        </is>
      </c>
      <c r="B23" s="26">
        <f>CORREL(Data!$L$2:$L$236,Data!$H$2:$H$236)</f>
        <v>0.13393407440791</v>
      </c>
      <c r="C23" s="26">
        <f>CORREL(Data!$L$2:$L$236,Data!$I$2:$I$236)</f>
        <v>0.188995192182883</v>
      </c>
      <c r="D23" s="26">
        <f>CORREL(Data!$L$2:$L$236,Data!$J$2:$J$236)</f>
        <v>0.890482696172951</v>
      </c>
      <c r="E23" s="26">
        <f>CORREL(Data!$L$2:$L$236,Data!$K$2:$K$236)</f>
        <v>-0.221228220283485</v>
      </c>
      <c r="F23" s="26">
        <f>CORREL(Data!$L$2:$L$236,Data!$M$2:$M$236)</f>
        <v>0.877190687862402</v>
      </c>
      <c r="G23" s="26">
        <f>CORREL(Data!$L$2:$L$236,Data!$L$2:$L$236)</f>
        <v>1</v>
      </c>
      <c r="H23" s="26">
        <f>CORREL(Data!$L$2:$L$236,Data!$N$2:$N$236)</f>
        <v>0.890707624833769</v>
      </c>
      <c r="I23" s="26">
        <f>CORREL(Data!$L$2:$L$236,Data!$G$2:$G$236)</f>
        <v>0.204031218072939</v>
      </c>
      <c r="J23" s="26">
        <f>CORREL(Data!$L$2:$L$236,Data!$S$2:$S$236)</f>
        <v>0.613809146438554</v>
      </c>
    </row>
    <row r="24">
      <c r="A24" s="16" t="inlineStr">
        <is>
          <t>changed_lines</t>
        </is>
      </c>
      <c r="B24" s="26">
        <f>CORREL(Data!$N$2:$N$236,Data!$H$2:$H$236)</f>
        <v>0.1680562375116</v>
      </c>
      <c r="C24" s="26">
        <f>CORREL(Data!$N$2:$N$236,Data!$I$2:$I$236)</f>
        <v>0.237590384112802</v>
      </c>
      <c r="D24" s="26">
        <f>CORREL(Data!$N$2:$N$236,Data!$J$2:$J$236)</f>
        <v>0.929069058691829</v>
      </c>
      <c r="E24" s="26">
        <f>CORREL(Data!$N$2:$N$236,Data!$K$2:$K$236)</f>
        <v>-0.212164959105873</v>
      </c>
      <c r="F24" s="26">
        <f>CORREL(Data!$N$2:$N$236,Data!$M$2:$M$236)</f>
        <v>0.802019550797218</v>
      </c>
      <c r="G24" s="26">
        <f>CORREL(Data!$N$2:$N$236,Data!$L$2:$L$236)</f>
        <v>0.890707624833769</v>
      </c>
      <c r="H24" s="26">
        <f>CORREL(Data!$N$2:$N$236,Data!$N$2:$N$236)</f>
        <v>1</v>
      </c>
      <c r="I24" s="26">
        <f>CORREL(Data!$N$2:$N$236,Data!$G$2:$G$236)</f>
        <v>0.202706635152042</v>
      </c>
      <c r="J24" s="26">
        <f>CORREL(Data!$N$2:$N$236,Data!$S$2:$S$236)</f>
        <v>0.650980981586654</v>
      </c>
    </row>
    <row r="25">
      <c r="A25" s="16" t="inlineStr">
        <is>
          <t>size</t>
        </is>
      </c>
      <c r="B25" s="26">
        <f>CORREL(Data!$G$2:$G$236,Data!$H$2:$H$236)</f>
        <v>-0.117574056723282</v>
      </c>
      <c r="C25" s="26">
        <f>CORREL(Data!$G$2:$G$236,Data!$I$2:$I$236)</f>
        <v>-0.0876155711438852</v>
      </c>
      <c r="D25" s="26">
        <f>CORREL(Data!$G$2:$G$236,Data!$J$2:$J$236)</f>
        <v>0.268095118128139</v>
      </c>
      <c r="E25" s="26">
        <f>CORREL(Data!$G$2:$G$236,Data!$K$2:$K$236)</f>
        <v>-0.184440991029345</v>
      </c>
      <c r="F25" s="26">
        <f>CORREL(Data!$G$2:$G$236,Data!$M$2:$M$236)</f>
        <v>0.167000654655041</v>
      </c>
      <c r="G25" s="26">
        <f>CORREL(Data!$G$2:$G$236,Data!$L$2:$L$236)</f>
        <v>0.204031218072939</v>
      </c>
      <c r="H25" s="26">
        <f>CORREL(Data!$G$2:$G$236,Data!$N$2:$N$236)</f>
        <v>0.202706635152042</v>
      </c>
      <c r="I25" s="26">
        <f>CORREL(Data!$G$2:$G$236,Data!$G$2:$G$236)</f>
        <v>1</v>
      </c>
      <c r="J25" s="26">
        <f>CORREL(Data!$G$2:$G$236,Data!$S$2:$S$236)</f>
        <v>0.244564919894825</v>
      </c>
    </row>
    <row r="26">
      <c r="A26" s="16" t="inlineStr">
        <is>
          <t>total_defects</t>
        </is>
      </c>
      <c r="B26" s="26">
        <f>CORREL(Data!$S$2:$S$236,Data!$H$2:$H$236)</f>
        <v>0.345525462055353</v>
      </c>
      <c r="C26" s="26">
        <f>CORREL(Data!$S$2:$S$236,Data!$I$2:$I$236)</f>
        <v>0.343254774746236</v>
      </c>
      <c r="D26" s="26">
        <f>CORREL(Data!$S$2:$S$236,Data!$J$2:$J$236)</f>
        <v>0.645171397869014</v>
      </c>
      <c r="E26" s="26">
        <f>CORREL(Data!$S$2:$S$236,Data!$K$2:$K$236)</f>
        <v>-0.392213545932308</v>
      </c>
      <c r="F26" s="26">
        <f>CORREL(Data!$S$2:$S$236,Data!$M$2:$M$236)</f>
        <v>0.513727339453784</v>
      </c>
      <c r="G26" s="26">
        <f>CORREL(Data!$S$2:$S$236,Data!$L$2:$L$236)</f>
        <v>0.613809146438554</v>
      </c>
      <c r="H26" s="26">
        <f>CORREL(Data!$S$2:$S$236,Data!$N$2:$N$236)</f>
        <v>0.650980981586654</v>
      </c>
      <c r="I26" s="26">
        <f>CORREL(Data!$S$2:$S$236,Data!$G$2:$G$236)</f>
        <v>0.244564919894825</v>
      </c>
      <c r="J26" s="26">
        <f>CORREL(Data!$S$2:$S$236,Data!$S$2:$S$236)</f>
        <v>1</v>
      </c>
    </row>
  </sheetData>
  <conditionalFormatting sqref="B18:J26">
    <cfRule type="colorScale" priority="1">
      <colorScale>
        <cfvo type="num" val="-1"/>
        <cfvo type="num" val="0"/>
        <cfvo type="num" val="1"/>
        <color rgb="005B9BD5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/>
  </sheetPr>
  <dimension ref="A1:M10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3" customWidth="1" min="12" max="12"/>
  </cols>
  <sheetData>
    <row r="1">
      <c r="A1" s="1" t="inlineStr">
        <is>
          <t>Pivot Tables and Pivot Charts</t>
        </is>
      </c>
    </row>
    <row r="2">
      <c r="A2" s="36" t="inlineStr">
        <is>
          <t>Source: Data!A1:AE236 (one pivot cache shared by all six pivots). Pivot tables on the left, matching pivot charts on the right. Right-click a pivot and choose Refresh (or Data &gt; Refresh All) after changing the Data sheet.</t>
        </is>
      </c>
    </row>
    <row r="3">
      <c r="A3" s="3" t="inlineStr">
        <is>
          <t>Pivot Table 1: total defects by module</t>
        </is>
      </c>
      <c r="B3" s="37" t="n"/>
    </row>
    <row r="4">
      <c r="A4" s="38" t="inlineStr">
        <is>
          <t>Row Labels</t>
        </is>
      </c>
      <c r="B4" s="39" t="inlineStr">
        <is>
          <t>Sum of total_defects</t>
        </is>
      </c>
    </row>
    <row r="5">
      <c r="A5" s="4" t="inlineStr">
        <is>
          <t>api_gateway</t>
        </is>
      </c>
      <c r="B5" s="11" t="n">
        <v>29</v>
      </c>
    </row>
    <row r="6">
      <c r="A6" s="4" t="inlineStr">
        <is>
          <t>ui_notifications</t>
        </is>
      </c>
      <c r="B6" s="11" t="n">
        <v>25</v>
      </c>
    </row>
    <row r="7">
      <c r="A7" s="4" t="inlineStr">
        <is>
          <t>ui_themes</t>
        </is>
      </c>
      <c r="B7" s="11" t="n">
        <v>19</v>
      </c>
    </row>
    <row r="8">
      <c r="A8" s="4" t="inlineStr">
        <is>
          <t>auth_session</t>
        </is>
      </c>
      <c r="B8" s="11" t="n">
        <v>17</v>
      </c>
    </row>
    <row r="9">
      <c r="A9" s="4" t="inlineStr">
        <is>
          <t>payments_fraud</t>
        </is>
      </c>
      <c r="B9" s="11" t="n">
        <v>15</v>
      </c>
    </row>
    <row r="10">
      <c r="A10" s="4" t="inlineStr">
        <is>
          <t>reporting_audit_logs</t>
        </is>
      </c>
      <c r="B10" s="11" t="n">
        <v>14</v>
      </c>
    </row>
    <row r="11">
      <c r="A11" s="4" t="inlineStr">
        <is>
          <t>reporting_scheduler</t>
        </is>
      </c>
      <c r="B11" s="11" t="n">
        <v>13</v>
      </c>
    </row>
    <row r="12">
      <c r="A12" s="4" t="inlineStr">
        <is>
          <t>database_migration</t>
        </is>
      </c>
      <c r="B12" s="11" t="n">
        <v>12</v>
      </c>
    </row>
    <row r="13">
      <c r="A13" s="4" t="inlineStr">
        <is>
          <t>payments_invoice</t>
        </is>
      </c>
      <c r="B13" s="11" t="n">
        <v>12</v>
      </c>
    </row>
    <row r="14">
      <c r="A14" s="4" t="inlineStr">
        <is>
          <t>database_replication</t>
        </is>
      </c>
      <c r="B14" s="11" t="n">
        <v>10</v>
      </c>
    </row>
    <row r="15">
      <c r="A15" s="4" t="inlineStr">
        <is>
          <t>payments_gateway</t>
        </is>
      </c>
      <c r="B15" s="11" t="n">
        <v>7</v>
      </c>
    </row>
    <row r="16">
      <c r="A16" s="4" t="inlineStr">
        <is>
          <t>reporting_export</t>
        </is>
      </c>
      <c r="B16" s="11" t="n">
        <v>7</v>
      </c>
    </row>
    <row r="17">
      <c r="A17" s="4" t="inlineStr">
        <is>
          <t>api_validator</t>
        </is>
      </c>
      <c r="B17" s="11" t="n">
        <v>6</v>
      </c>
    </row>
    <row r="18">
      <c r="A18" s="4" t="inlineStr">
        <is>
          <t>database_orm</t>
        </is>
      </c>
      <c r="B18" s="11" t="n">
        <v>6</v>
      </c>
    </row>
    <row r="19">
      <c r="A19" s="4" t="inlineStr">
        <is>
          <t>payments_checkout</t>
        </is>
      </c>
      <c r="B19" s="11" t="n">
        <v>6</v>
      </c>
    </row>
    <row r="20">
      <c r="A20" s="4" t="inlineStr">
        <is>
          <t>ui_search</t>
        </is>
      </c>
      <c r="B20" s="11" t="n">
        <v>6</v>
      </c>
    </row>
    <row r="21">
      <c r="A21" s="4" t="inlineStr">
        <is>
          <t>api_webhooks</t>
        </is>
      </c>
      <c r="B21" s="11" t="n">
        <v>5</v>
      </c>
    </row>
    <row r="22">
      <c r="A22" s="4" t="inlineStr">
        <is>
          <t>auth_audit</t>
        </is>
      </c>
      <c r="B22" s="11" t="n">
        <v>5</v>
      </c>
    </row>
    <row r="23">
      <c r="A23" s="4" t="inlineStr">
        <is>
          <t>auth_token</t>
        </is>
      </c>
      <c r="B23" s="11" t="n">
        <v>5</v>
      </c>
    </row>
    <row r="24">
      <c r="A24" s="4" t="inlineStr">
        <is>
          <t>payments_wallet</t>
        </is>
      </c>
      <c r="B24" s="11" t="n">
        <v>5</v>
      </c>
    </row>
    <row r="25">
      <c r="A25" s="4" t="inlineStr">
        <is>
          <t>ui_charts</t>
        </is>
      </c>
      <c r="B25" s="11" t="n">
        <v>5</v>
      </c>
    </row>
    <row r="26">
      <c r="A26" s="4" t="inlineStr">
        <is>
          <t>ui_profile</t>
        </is>
      </c>
      <c r="B26" s="11" t="n">
        <v>5</v>
      </c>
    </row>
    <row r="27">
      <c r="A27" s="4" t="inlineStr">
        <is>
          <t>api_docs</t>
        </is>
      </c>
      <c r="B27" s="11" t="n">
        <v>4</v>
      </c>
    </row>
    <row r="28">
      <c r="A28" s="4" t="inlineStr">
        <is>
          <t>api_versioning</t>
        </is>
      </c>
      <c r="B28" s="11" t="n">
        <v>4</v>
      </c>
      <c r="D28" s="3" t="inlineStr">
        <is>
          <t>Pivot Table 2: total defects by release and component (component trend)</t>
        </is>
      </c>
      <c r="E28" s="37" t="n"/>
      <c r="F28" s="37" t="n"/>
      <c r="G28" s="37" t="n"/>
      <c r="H28" s="37" t="n"/>
      <c r="I28" s="37" t="n"/>
      <c r="J28" s="37" t="n"/>
      <c r="K28" s="37" t="n"/>
    </row>
    <row r="29">
      <c r="A29" s="4" t="inlineStr">
        <is>
          <t>database_backup</t>
        </is>
      </c>
      <c r="B29" s="11" t="n">
        <v>4</v>
      </c>
      <c r="D29" s="38" t="inlineStr">
        <is>
          <t>Sum of total_defects</t>
        </is>
      </c>
      <c r="E29" s="38" t="inlineStr">
        <is>
          <t>Column Labels</t>
        </is>
      </c>
      <c r="F29" s="38" t="n"/>
      <c r="G29" s="38" t="n"/>
      <c r="H29" s="38" t="n"/>
      <c r="I29" s="38" t="n"/>
      <c r="J29" s="38" t="n"/>
      <c r="K29" s="38" t="n"/>
      <c r="L29" s="38" t="n"/>
      <c r="M29" s="38" t="n"/>
    </row>
    <row r="30">
      <c r="A30" s="4" t="inlineStr">
        <is>
          <t>payments_subscription</t>
        </is>
      </c>
      <c r="B30" s="11" t="n">
        <v>4</v>
      </c>
      <c r="D30" s="38" t="inlineStr">
        <is>
          <t>Row Labels</t>
        </is>
      </c>
      <c r="E30" s="39" t="inlineStr">
        <is>
          <t>API</t>
        </is>
      </c>
      <c r="F30" s="39" t="inlineStr">
        <is>
          <t>Auth</t>
        </is>
      </c>
      <c r="G30" s="39" t="inlineStr">
        <is>
          <t>Database</t>
        </is>
      </c>
      <c r="H30" s="39" t="inlineStr">
        <is>
          <t>Payments</t>
        </is>
      </c>
      <c r="I30" s="39" t="inlineStr">
        <is>
          <t>Reporting</t>
        </is>
      </c>
      <c r="J30" s="39" t="inlineStr">
        <is>
          <t>UI</t>
        </is>
      </c>
      <c r="K30" s="39" t="inlineStr">
        <is>
          <t>Grand Total</t>
        </is>
      </c>
    </row>
    <row r="31">
      <c r="A31" s="4" t="inlineStr">
        <is>
          <t>reporting_templates</t>
        </is>
      </c>
      <c r="B31" s="11" t="n">
        <v>4</v>
      </c>
      <c r="D31" s="4" t="inlineStr">
        <is>
          <t>v1.0</t>
        </is>
      </c>
      <c r="E31" s="11" t="n">
        <v>17</v>
      </c>
      <c r="F31" s="11" t="n">
        <v>10</v>
      </c>
      <c r="G31" s="11" t="n">
        <v>8</v>
      </c>
      <c r="H31" s="11" t="n">
        <v>19</v>
      </c>
      <c r="I31" s="11" t="n">
        <v>7</v>
      </c>
      <c r="J31" s="11" t="n">
        <v>27</v>
      </c>
      <c r="K31" s="11" t="n">
        <v>88</v>
      </c>
    </row>
    <row r="32">
      <c r="A32" s="4" t="inlineStr">
        <is>
          <t>ui_forms</t>
        </is>
      </c>
      <c r="B32" s="11" t="n">
        <v>4</v>
      </c>
      <c r="D32" s="4" t="inlineStr">
        <is>
          <t>v1.1</t>
        </is>
      </c>
      <c r="E32" s="11" t="n">
        <v>3</v>
      </c>
      <c r="F32" s="11" t="n">
        <v>4</v>
      </c>
      <c r="G32" s="11" t="n">
        <v>8</v>
      </c>
      <c r="H32" s="11" t="n">
        <v>11</v>
      </c>
      <c r="I32" s="11" t="n">
        <v>11</v>
      </c>
      <c r="J32" s="11" t="n">
        <v>16</v>
      </c>
      <c r="K32" s="11" t="n">
        <v>53</v>
      </c>
    </row>
    <row r="33">
      <c r="A33" s="4" t="inlineStr">
        <is>
          <t>payments_refund</t>
        </is>
      </c>
      <c r="B33" s="11" t="n">
        <v>3</v>
      </c>
      <c r="D33" s="4" t="inlineStr">
        <is>
          <t>v2.0</t>
        </is>
      </c>
      <c r="E33" s="11" t="n">
        <v>12</v>
      </c>
      <c r="F33" s="11" t="n">
        <v>6</v>
      </c>
      <c r="G33" s="11" t="n">
        <v>6</v>
      </c>
      <c r="H33" s="11" t="n">
        <v>11</v>
      </c>
      <c r="I33" s="11" t="n">
        <v>5</v>
      </c>
      <c r="J33" s="11" t="n">
        <v>10</v>
      </c>
      <c r="K33" s="11" t="n">
        <v>50</v>
      </c>
    </row>
    <row r="34">
      <c r="A34" s="4" t="inlineStr">
        <is>
          <t>payments_tax</t>
        </is>
      </c>
      <c r="B34" s="11" t="n">
        <v>3</v>
      </c>
      <c r="D34" s="4" t="inlineStr">
        <is>
          <t>v2.1</t>
        </is>
      </c>
      <c r="E34" s="11" t="n">
        <v>3</v>
      </c>
      <c r="F34" s="11" t="n">
        <v>9</v>
      </c>
      <c r="G34" s="11" t="n">
        <v>7</v>
      </c>
      <c r="H34" s="11" t="n">
        <v>3</v>
      </c>
      <c r="I34" s="11" t="n">
        <v>8</v>
      </c>
      <c r="J34" s="11" t="n">
        <v>7</v>
      </c>
      <c r="K34" s="11" t="n">
        <v>37</v>
      </c>
    </row>
    <row r="35">
      <c r="A35" s="4" t="inlineStr">
        <is>
          <t>ui_dashboard</t>
        </is>
      </c>
      <c r="B35" s="11" t="n">
        <v>3</v>
      </c>
      <c r="D35" s="4" t="inlineStr">
        <is>
          <t>v3.0</t>
        </is>
      </c>
      <c r="E35" s="11" t="n">
        <v>15</v>
      </c>
      <c r="F35" s="11" t="n">
        <v>2</v>
      </c>
      <c r="G35" s="11" t="n">
        <v>7</v>
      </c>
      <c r="H35" s="11" t="n">
        <v>11</v>
      </c>
      <c r="I35" s="11" t="n">
        <v>12</v>
      </c>
      <c r="J35" s="11" t="n">
        <v>10</v>
      </c>
      <c r="K35" s="11" t="n">
        <v>57</v>
      </c>
    </row>
    <row r="36">
      <c r="A36" s="4" t="inlineStr">
        <is>
          <t>ui_navbar</t>
        </is>
      </c>
      <c r="B36" s="11" t="n">
        <v>3</v>
      </c>
      <c r="D36" s="16" t="inlineStr">
        <is>
          <t>Grand Total</t>
        </is>
      </c>
      <c r="E36" s="5" t="n">
        <v>50</v>
      </c>
      <c r="F36" s="5" t="n">
        <v>31</v>
      </c>
      <c r="G36" s="5" t="n">
        <v>36</v>
      </c>
      <c r="H36" s="5" t="n">
        <v>55</v>
      </c>
      <c r="I36" s="5" t="n">
        <v>43</v>
      </c>
      <c r="J36" s="5" t="n">
        <v>70</v>
      </c>
      <c r="K36" s="5" t="n">
        <v>285</v>
      </c>
    </row>
    <row r="37">
      <c r="A37" s="4" t="inlineStr">
        <is>
          <t>api_router</t>
        </is>
      </c>
      <c r="B37" s="11" t="n">
        <v>2</v>
      </c>
    </row>
    <row r="38">
      <c r="A38" s="4" t="inlineStr">
        <is>
          <t>auth_oauth</t>
        </is>
      </c>
      <c r="B38" s="11" t="n">
        <v>2</v>
      </c>
    </row>
    <row r="39">
      <c r="A39" s="4" t="inlineStr">
        <is>
          <t>auth_rbac</t>
        </is>
      </c>
      <c r="B39" s="11" t="n">
        <v>2</v>
      </c>
    </row>
    <row r="40">
      <c r="A40" s="4" t="inlineStr">
        <is>
          <t>database_cache</t>
        </is>
      </c>
      <c r="B40" s="11" t="n">
        <v>2</v>
      </c>
    </row>
    <row r="41">
      <c r="A41" s="4" t="inlineStr">
        <is>
          <t>reporting_analytics</t>
        </is>
      </c>
      <c r="B41" s="11" t="n">
        <v>2</v>
      </c>
    </row>
    <row r="42">
      <c r="A42" s="4" t="inlineStr">
        <is>
          <t>reporting_pdfgen</t>
        </is>
      </c>
      <c r="B42" s="11" t="n">
        <v>2</v>
      </c>
    </row>
    <row r="43">
      <c r="A43" s="4" t="inlineStr">
        <is>
          <t>database_indexing</t>
        </is>
      </c>
      <c r="B43" s="11" t="n">
        <v>1</v>
      </c>
    </row>
    <row r="44">
      <c r="A44" s="4" t="inlineStr">
        <is>
          <t>database_pool</t>
        </is>
      </c>
      <c r="B44" s="11" t="n">
        <v>1</v>
      </c>
    </row>
    <row r="45">
      <c r="A45" s="4" t="inlineStr">
        <is>
          <t>reporting_emailer</t>
        </is>
      </c>
      <c r="B45" s="11" t="n">
        <v>1</v>
      </c>
    </row>
    <row r="46">
      <c r="A46" s="4" t="inlineStr">
        <is>
          <t>api_graphql</t>
        </is>
      </c>
      <c r="B46" s="11" t="n">
        <v>0</v>
      </c>
      <c r="D46" s="3" t="inlineStr">
        <is>
          <t>Pivot Table 3: average defects by complexity quartile</t>
        </is>
      </c>
      <c r="E46" s="37" t="n"/>
      <c r="F46" s="37" t="n"/>
      <c r="G46" s="37" t="n"/>
      <c r="H46" s="37" t="n"/>
      <c r="I46" s="37" t="n"/>
      <c r="J46" s="37" t="n"/>
      <c r="K46" s="37" t="n"/>
    </row>
    <row r="47">
      <c r="A47" s="4" t="inlineStr">
        <is>
          <t>api_ratelimit</t>
        </is>
      </c>
      <c r="B47" s="11" t="n">
        <v>0</v>
      </c>
      <c r="D47" s="38" t="inlineStr">
        <is>
          <t>Row Labels</t>
        </is>
      </c>
      <c r="E47" s="39" t="inlineStr">
        <is>
          <t>Average of total_defects</t>
        </is>
      </c>
    </row>
    <row r="48">
      <c r="A48" s="4" t="inlineStr">
        <is>
          <t>auth_login</t>
        </is>
      </c>
      <c r="B48" s="11" t="n">
        <v>0</v>
      </c>
      <c r="D48" s="4" t="inlineStr">
        <is>
          <t>Q1 (lowest)</t>
        </is>
      </c>
      <c r="E48" s="18" t="n">
        <v>0.7627118644067796</v>
      </c>
    </row>
    <row r="49">
      <c r="A49" s="4" t="inlineStr">
        <is>
          <t>auth_mfa</t>
        </is>
      </c>
      <c r="B49" s="11" t="n">
        <v>0</v>
      </c>
      <c r="D49" s="4" t="inlineStr">
        <is>
          <t>Q2</t>
        </is>
      </c>
      <c r="E49" s="18" t="n">
        <v>0.5254237288135594</v>
      </c>
    </row>
    <row r="50">
      <c r="A50" s="4" t="inlineStr">
        <is>
          <t>auth_password</t>
        </is>
      </c>
      <c r="B50" s="11" t="n">
        <v>0</v>
      </c>
      <c r="D50" s="4" t="inlineStr">
        <is>
          <t>Q3</t>
        </is>
      </c>
      <c r="E50" s="18" t="n">
        <v>1.293103448275862</v>
      </c>
    </row>
    <row r="51">
      <c r="A51" s="4" t="inlineStr">
        <is>
          <t>reporting_aggregator</t>
        </is>
      </c>
      <c r="B51" s="11" t="n">
        <v>0</v>
      </c>
      <c r="D51" s="4" t="inlineStr">
        <is>
          <t>Q4 (highest)</t>
        </is>
      </c>
      <c r="E51" s="18" t="n">
        <v>2.271186440677966</v>
      </c>
    </row>
    <row r="52">
      <c r="A52" s="16" t="inlineStr">
        <is>
          <t>Grand Total</t>
        </is>
      </c>
      <c r="B52" s="5" t="n">
        <v>285</v>
      </c>
      <c r="D52" s="16" t="inlineStr">
        <is>
          <t>Grand Total</t>
        </is>
      </c>
      <c r="E52" s="6" t="n">
        <v>1.212765957446809</v>
      </c>
    </row>
    <row r="64">
      <c r="D64" s="3" t="inlineStr">
        <is>
          <t>Pivot Table 4: average defects by code-churn quartile</t>
        </is>
      </c>
      <c r="E64" s="37" t="n"/>
      <c r="F64" s="37" t="n"/>
      <c r="G64" s="37" t="n"/>
      <c r="H64" s="37" t="n"/>
      <c r="I64" s="37" t="n"/>
      <c r="J64" s="37" t="n"/>
      <c r="K64" s="37" t="n"/>
    </row>
    <row r="65">
      <c r="D65" s="38" t="inlineStr">
        <is>
          <t>Row Labels</t>
        </is>
      </c>
      <c r="E65" s="39" t="inlineStr">
        <is>
          <t>Average of total_defects</t>
        </is>
      </c>
    </row>
    <row r="66">
      <c r="D66" s="4" t="inlineStr">
        <is>
          <t>Q1 (lowest)</t>
        </is>
      </c>
      <c r="E66" s="18" t="n">
        <v>0.4745762711864407</v>
      </c>
    </row>
    <row r="67">
      <c r="D67" s="4" t="inlineStr">
        <is>
          <t>Q2</t>
        </is>
      </c>
      <c r="E67" s="18" t="n">
        <v>0.7796610169491526</v>
      </c>
    </row>
    <row r="68">
      <c r="D68" s="4" t="inlineStr">
        <is>
          <t>Q3</t>
        </is>
      </c>
      <c r="E68" s="18" t="n">
        <v>0.8620689655172413</v>
      </c>
    </row>
    <row r="69">
      <c r="D69" s="4" t="inlineStr">
        <is>
          <t>Q4 (highest)</t>
        </is>
      </c>
      <c r="E69" s="18" t="n">
        <v>2.728813559322034</v>
      </c>
    </row>
    <row r="70">
      <c r="D70" s="16" t="inlineStr">
        <is>
          <t>Grand Total</t>
        </is>
      </c>
      <c r="E70" s="6" t="n">
        <v>1.212765957446809</v>
      </c>
    </row>
    <row r="82">
      <c r="D82" s="3" t="inlineStr">
        <is>
          <t>Pivot Table 5: average defects by test-coverage band</t>
        </is>
      </c>
      <c r="E82" s="37" t="n"/>
      <c r="F82" s="37" t="n"/>
      <c r="G82" s="37" t="n"/>
      <c r="H82" s="37" t="n"/>
      <c r="I82" s="37" t="n"/>
      <c r="J82" s="37" t="n"/>
      <c r="K82" s="37" t="n"/>
    </row>
    <row r="83">
      <c r="D83" s="38" t="inlineStr">
        <is>
          <t>Row Labels</t>
        </is>
      </c>
      <c r="E83" s="39" t="inlineStr">
        <is>
          <t>Average of total_defects</t>
        </is>
      </c>
    </row>
    <row r="84">
      <c r="D84" s="4" t="inlineStr">
        <is>
          <t>&lt;=40%</t>
        </is>
      </c>
      <c r="E84" s="18" t="n">
        <v>3.681818181818182</v>
      </c>
    </row>
    <row r="85">
      <c r="D85" s="4" t="inlineStr">
        <is>
          <t>40-60%</t>
        </is>
      </c>
      <c r="E85" s="18" t="n">
        <v>1.470588235294118</v>
      </c>
    </row>
    <row r="86">
      <c r="D86" s="4" t="inlineStr">
        <is>
          <t>60-80%</t>
        </is>
      </c>
      <c r="E86" s="18" t="n">
        <v>0.7338709677419355</v>
      </c>
    </row>
    <row r="87">
      <c r="D87" s="4" t="inlineStr">
        <is>
          <t>80%+</t>
        </is>
      </c>
      <c r="E87" s="18" t="n">
        <v>0.6190476190476191</v>
      </c>
    </row>
    <row r="88">
      <c r="D88" s="16" t="inlineStr">
        <is>
          <t>Grand Total</t>
        </is>
      </c>
      <c r="E88" s="6" t="n">
        <v>1.212765957446809</v>
      </c>
    </row>
    <row r="100">
      <c r="D100" s="3" t="inlineStr">
        <is>
          <t>Pivot Table 6: contributor groups (average defects and number of module-releases)</t>
        </is>
      </c>
      <c r="E100" s="37" t="n"/>
      <c r="F100" s="37" t="n"/>
      <c r="G100" s="37" t="n"/>
      <c r="H100" s="37" t="n"/>
      <c r="I100" s="37" t="n"/>
      <c r="J100" s="37" t="n"/>
      <c r="K100" s="37" t="n"/>
    </row>
    <row r="101">
      <c r="D101" s="38" t="inlineStr">
        <is>
          <t>Row Labels</t>
        </is>
      </c>
      <c r="E101" s="39" t="inlineStr">
        <is>
          <t>Average of total_defects</t>
        </is>
      </c>
      <c r="F101" s="39" t="inlineStr">
        <is>
          <t>Count of module</t>
        </is>
      </c>
    </row>
    <row r="102">
      <c r="D102" s="4" t="inlineStr">
        <is>
          <t>1-2</t>
        </is>
      </c>
      <c r="E102" s="18" t="n">
        <v>0.4936708860759494</v>
      </c>
      <c r="F102" s="11" t="n">
        <v>79</v>
      </c>
    </row>
    <row r="103">
      <c r="D103" s="4" t="inlineStr">
        <is>
          <t>3-4</t>
        </is>
      </c>
      <c r="E103" s="18" t="n">
        <v>1.046296296296296</v>
      </c>
      <c r="F103" s="11" t="n">
        <v>108</v>
      </c>
    </row>
    <row r="104">
      <c r="D104" s="4" t="inlineStr">
        <is>
          <t>5-6</t>
        </is>
      </c>
      <c r="E104" s="18" t="n">
        <v>2.219512195121951</v>
      </c>
      <c r="F104" s="11" t="n">
        <v>41</v>
      </c>
    </row>
    <row r="105">
      <c r="D105" s="4" t="inlineStr">
        <is>
          <t>7+</t>
        </is>
      </c>
      <c r="E105" s="18" t="n">
        <v>6</v>
      </c>
      <c r="F105" s="11" t="n">
        <v>7</v>
      </c>
    </row>
    <row r="106">
      <c r="D106" s="16" t="inlineStr">
        <is>
          <t>Grand Total</t>
        </is>
      </c>
      <c r="E106" s="6" t="n">
        <v>1.212765957446809</v>
      </c>
      <c r="F106" s="5" t="n">
        <v>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M5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11" customWidth="1" min="7" max="7"/>
    <col width="11" customWidth="1" min="8" max="8"/>
    <col width="2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>
      <c r="A1" s="1" t="inlineStr">
        <is>
          <t>Module priority list (model output imported from the Python notebook)</t>
        </is>
      </c>
    </row>
    <row r="2">
      <c r="A2" s="2" t="inlineStr">
        <is>
          <t>Predicted and actual defects are for the latest release (v3.0). Predictions come from unseen-module cross-validation. Tiers combine repeat-defect history with churn and coverage rules (see Notes).</t>
        </is>
      </c>
    </row>
    <row r="4" ht="42" customHeight="1">
      <c r="A4" s="7" t="inlineStr">
        <is>
          <t>module</t>
        </is>
      </c>
      <c r="B4" s="7" t="inlineStr">
        <is>
          <t>component</t>
        </is>
      </c>
      <c r="C4" s="7" t="inlineStr">
        <is>
          <t>predicted_defects</t>
        </is>
      </c>
      <c r="D4" s="7" t="inlineStr">
        <is>
          <t>actual_defects</t>
        </is>
      </c>
      <c r="E4" s="7" t="inlineStr">
        <is>
          <t>releases_with_defects</t>
        </is>
      </c>
      <c r="F4" s="7" t="inlineStr">
        <is>
          <t>churn</t>
        </is>
      </c>
      <c r="G4" s="7" t="inlineStr">
        <is>
          <t>complexity</t>
        </is>
      </c>
      <c r="H4" s="7" t="inlineStr">
        <is>
          <t>test_coverage</t>
        </is>
      </c>
      <c r="I4" s="7" t="inlineStr">
        <is>
          <t>action</t>
        </is>
      </c>
      <c r="J4" s="7" t="inlineStr">
        <is>
          <t>repeat_defect_module</t>
        </is>
      </c>
      <c r="K4" s="7" t="inlineStr">
        <is>
          <t>total_defects_all_releases</t>
        </is>
      </c>
      <c r="L4" s="7" t="inlineStr">
        <is>
          <t>avg_risk_score</t>
        </is>
      </c>
      <c r="M4" s="7" t="inlineStr">
        <is>
          <t>priority_tier</t>
        </is>
      </c>
    </row>
    <row r="5">
      <c r="A5" s="4" t="inlineStr">
        <is>
          <t>payments_fraud</t>
        </is>
      </c>
      <c r="B5" s="4" t="inlineStr">
        <is>
          <t>Payments</t>
        </is>
      </c>
      <c r="C5" s="18" t="n">
        <v>3.19</v>
      </c>
      <c r="D5" s="4" t="n">
        <v>1</v>
      </c>
      <c r="E5" s="4" t="n">
        <v>4</v>
      </c>
      <c r="F5" s="29" t="n">
        <v>454.2</v>
      </c>
      <c r="G5" s="29" t="n">
        <v>20.06</v>
      </c>
      <c r="H5" s="29" t="n">
        <v>30.7</v>
      </c>
      <c r="I5" s="4" t="inlineStr">
        <is>
          <t>Code review + more tests</t>
        </is>
      </c>
      <c r="J5" s="4" t="n">
        <v>1</v>
      </c>
      <c r="K5" s="4" t="n">
        <v>15</v>
      </c>
      <c r="L5" s="29" t="n">
        <v>59.4684900613446</v>
      </c>
      <c r="M5" s="4" t="inlineStr">
        <is>
          <t>Tier 1: fix first</t>
        </is>
      </c>
    </row>
    <row r="6">
      <c r="A6" s="4" t="inlineStr">
        <is>
          <t>ui_themes</t>
        </is>
      </c>
      <c r="B6" s="4" t="inlineStr">
        <is>
          <t>UI</t>
        </is>
      </c>
      <c r="C6" s="18" t="n">
        <v>3</v>
      </c>
      <c r="D6" s="4" t="n">
        <v>5</v>
      </c>
      <c r="E6" s="4" t="n">
        <v>4</v>
      </c>
      <c r="F6" s="29" t="n">
        <v>529</v>
      </c>
      <c r="G6" s="29" t="n">
        <v>32.95</v>
      </c>
      <c r="H6" s="29" t="n">
        <v>57.6</v>
      </c>
      <c r="I6" s="4" t="inlineStr">
        <is>
          <t>Code review + more tests</t>
        </is>
      </c>
      <c r="J6" s="4" t="n">
        <v>1</v>
      </c>
      <c r="K6" s="4" t="n">
        <v>19</v>
      </c>
      <c r="L6" s="29" t="n">
        <v>60.17522139087225</v>
      </c>
      <c r="M6" s="4" t="inlineStr">
        <is>
          <t>Tier 1: fix first</t>
        </is>
      </c>
    </row>
    <row r="7">
      <c r="A7" s="4" t="inlineStr">
        <is>
          <t>reporting_audit_logs</t>
        </is>
      </c>
      <c r="B7" s="4" t="inlineStr">
        <is>
          <t>Reporting</t>
        </is>
      </c>
      <c r="C7" s="18" t="n">
        <v>2</v>
      </c>
      <c r="D7" s="4" t="n">
        <v>5</v>
      </c>
      <c r="E7" s="4" t="n">
        <v>5</v>
      </c>
      <c r="F7" s="29" t="n">
        <v>773.4</v>
      </c>
      <c r="G7" s="29" t="n">
        <v>24.92</v>
      </c>
      <c r="H7" s="29" t="n">
        <v>62.4</v>
      </c>
      <c r="I7" s="4" t="inlineStr">
        <is>
          <t>Priority code review</t>
        </is>
      </c>
      <c r="J7" s="4" t="n">
        <v>1</v>
      </c>
      <c r="K7" s="4" t="n">
        <v>14</v>
      </c>
      <c r="L7" s="29" t="n">
        <v>52.16194634555968</v>
      </c>
      <c r="M7" s="4" t="inlineStr">
        <is>
          <t>Tier 1: fix first</t>
        </is>
      </c>
    </row>
    <row r="8">
      <c r="A8" s="4" t="inlineStr">
        <is>
          <t>reporting_scheduler</t>
        </is>
      </c>
      <c r="B8" s="4" t="inlineStr">
        <is>
          <t>Reporting</t>
        </is>
      </c>
      <c r="C8" s="18" t="n">
        <v>1.76</v>
      </c>
      <c r="D8" s="4" t="n">
        <v>4</v>
      </c>
      <c r="E8" s="4" t="n">
        <v>5</v>
      </c>
      <c r="F8" s="29" t="n">
        <v>262.5</v>
      </c>
      <c r="G8" s="29" t="n">
        <v>33.4</v>
      </c>
      <c r="H8" s="29" t="n">
        <v>41.05</v>
      </c>
      <c r="I8" s="4" t="inlineStr">
        <is>
          <t>Add tests</t>
        </is>
      </c>
      <c r="J8" s="4" t="n">
        <v>1</v>
      </c>
      <c r="K8" s="4" t="n">
        <v>13</v>
      </c>
      <c r="L8" s="29" t="n">
        <v>59.58519725640007</v>
      </c>
      <c r="M8" s="4" t="inlineStr">
        <is>
          <t>Tier 1: fix first</t>
        </is>
      </c>
    </row>
    <row r="9">
      <c r="A9" s="4" t="inlineStr">
        <is>
          <t>api_gateway</t>
        </is>
      </c>
      <c r="B9" s="4" t="inlineStr">
        <is>
          <t>API</t>
        </is>
      </c>
      <c r="C9" s="18" t="n">
        <v>1.75</v>
      </c>
      <c r="D9" s="4" t="n">
        <v>5</v>
      </c>
      <c r="E9" s="4" t="n">
        <v>5</v>
      </c>
      <c r="F9" s="29" t="n">
        <v>455.5</v>
      </c>
      <c r="G9" s="29" t="n">
        <v>17.03</v>
      </c>
      <c r="H9" s="29" t="n">
        <v>41.1</v>
      </c>
      <c r="I9" s="4" t="inlineStr">
        <is>
          <t>Code review + more tests</t>
        </is>
      </c>
      <c r="J9" s="4" t="n">
        <v>1</v>
      </c>
      <c r="K9" s="4" t="n">
        <v>29</v>
      </c>
      <c r="L9" s="29" t="n">
        <v>57.79823160522672</v>
      </c>
      <c r="M9" s="4" t="inlineStr">
        <is>
          <t>Tier 1: fix first</t>
        </is>
      </c>
    </row>
    <row r="10">
      <c r="A10" s="4" t="inlineStr">
        <is>
          <t>api_webhooks</t>
        </is>
      </c>
      <c r="B10" s="4" t="inlineStr">
        <is>
          <t>API</t>
        </is>
      </c>
      <c r="C10" s="18" t="n">
        <v>1.62</v>
      </c>
      <c r="D10" s="4" t="n">
        <v>0</v>
      </c>
      <c r="E10" s="4" t="n">
        <v>4</v>
      </c>
      <c r="F10" s="29" t="n">
        <v>100.2</v>
      </c>
      <c r="G10" s="29" t="n">
        <v>13.69</v>
      </c>
      <c r="H10" s="29" t="n">
        <v>29.5</v>
      </c>
      <c r="I10" s="4" t="inlineStr">
        <is>
          <t>Add tests</t>
        </is>
      </c>
      <c r="J10" s="4" t="n">
        <v>1</v>
      </c>
      <c r="K10" s="4" t="n">
        <v>5</v>
      </c>
      <c r="L10" s="29" t="n">
        <v>46.43006332120394</v>
      </c>
      <c r="M10" s="4" t="inlineStr">
        <is>
          <t>Tier 1: fix first</t>
        </is>
      </c>
    </row>
    <row r="11">
      <c r="A11" s="4" t="inlineStr">
        <is>
          <t>reporting_export</t>
        </is>
      </c>
      <c r="B11" s="4" t="inlineStr">
        <is>
          <t>Reporting</t>
        </is>
      </c>
      <c r="C11" s="18" t="n">
        <v>1.54</v>
      </c>
      <c r="D11" s="4" t="n">
        <v>3</v>
      </c>
      <c r="E11" s="4" t="n">
        <v>4</v>
      </c>
      <c r="F11" s="29" t="n">
        <v>399</v>
      </c>
      <c r="G11" s="29" t="n">
        <v>17.44</v>
      </c>
      <c r="H11" s="29" t="n">
        <v>61.8</v>
      </c>
      <c r="I11" s="4" t="inlineStr">
        <is>
          <t>Priority code review</t>
        </is>
      </c>
      <c r="J11" s="4" t="n">
        <v>1</v>
      </c>
      <c r="K11" s="4" t="n">
        <v>7</v>
      </c>
      <c r="L11" s="29" t="n">
        <v>36.59584239713013</v>
      </c>
      <c r="M11" s="4" t="inlineStr">
        <is>
          <t>Tier 1: fix first</t>
        </is>
      </c>
    </row>
    <row r="12">
      <c r="A12" s="4" t="inlineStr">
        <is>
          <t>ui_notifications</t>
        </is>
      </c>
      <c r="B12" s="4" t="inlineStr">
        <is>
          <t>UI</t>
        </is>
      </c>
      <c r="C12" s="18" t="n">
        <v>1.37</v>
      </c>
      <c r="D12" s="4" t="n">
        <v>0</v>
      </c>
      <c r="E12" s="4" t="n">
        <v>4</v>
      </c>
      <c r="F12" s="29" t="n">
        <v>593.4</v>
      </c>
      <c r="G12" s="29" t="n">
        <v>13.31</v>
      </c>
      <c r="H12" s="29" t="n">
        <v>35.4</v>
      </c>
      <c r="I12" s="4" t="inlineStr">
        <is>
          <t>Code review + more tests</t>
        </is>
      </c>
      <c r="J12" s="4" t="n">
        <v>1</v>
      </c>
      <c r="K12" s="4" t="n">
        <v>25</v>
      </c>
      <c r="L12" s="29" t="n">
        <v>62.11265225161208</v>
      </c>
      <c r="M12" s="4" t="inlineStr">
        <is>
          <t>Tier 1: fix first</t>
        </is>
      </c>
    </row>
    <row r="13">
      <c r="A13" s="4" t="inlineStr">
        <is>
          <t>auth_session</t>
        </is>
      </c>
      <c r="B13" s="4" t="inlineStr">
        <is>
          <t>Auth</t>
        </is>
      </c>
      <c r="C13" s="18" t="n">
        <v>1.07</v>
      </c>
      <c r="D13" s="4" t="n">
        <v>1</v>
      </c>
      <c r="E13" s="4" t="n">
        <v>5</v>
      </c>
      <c r="F13" s="29" t="n">
        <v>167.9</v>
      </c>
      <c r="G13" s="29" t="n">
        <v>19.44</v>
      </c>
      <c r="H13" s="29" t="n">
        <v>47.2</v>
      </c>
      <c r="I13" s="4" t="inlineStr">
        <is>
          <t>Add tests</t>
        </is>
      </c>
      <c r="J13" s="4" t="n">
        <v>1</v>
      </c>
      <c r="K13" s="4" t="n">
        <v>17</v>
      </c>
      <c r="L13" s="29" t="n">
        <v>60.15930996638226</v>
      </c>
      <c r="M13" s="4" t="inlineStr">
        <is>
          <t>Tier 1: fix first</t>
        </is>
      </c>
    </row>
    <row r="14">
      <c r="A14" s="4" t="inlineStr">
        <is>
          <t>ui_charts</t>
        </is>
      </c>
      <c r="B14" s="4" t="inlineStr">
        <is>
          <t>UI</t>
        </is>
      </c>
      <c r="C14" s="18" t="n">
        <v>0.79</v>
      </c>
      <c r="D14" s="4" t="n">
        <v>1</v>
      </c>
      <c r="E14" s="4" t="n">
        <v>4</v>
      </c>
      <c r="F14" s="29" t="n">
        <v>214.1</v>
      </c>
      <c r="G14" s="29" t="n">
        <v>9.880000000000001</v>
      </c>
      <c r="H14" s="29" t="n">
        <v>58.9</v>
      </c>
      <c r="I14" s="4" t="inlineStr">
        <is>
          <t>Add tests</t>
        </is>
      </c>
      <c r="J14" s="4" t="n">
        <v>1</v>
      </c>
      <c r="K14" s="4" t="n">
        <v>5</v>
      </c>
      <c r="L14" s="29" t="n">
        <v>36.78501558025304</v>
      </c>
      <c r="M14" s="4" t="inlineStr">
        <is>
          <t>Tier 1: fix first</t>
        </is>
      </c>
    </row>
    <row r="15">
      <c r="A15" s="4" t="inlineStr">
        <is>
          <t>database_migration</t>
        </is>
      </c>
      <c r="B15" s="4" t="inlineStr">
        <is>
          <t>Database</t>
        </is>
      </c>
      <c r="C15" s="18" t="n">
        <v>0.73</v>
      </c>
      <c r="D15" s="4" t="n">
        <v>2</v>
      </c>
      <c r="E15" s="4" t="n">
        <v>5</v>
      </c>
      <c r="F15" s="29" t="n">
        <v>150.5</v>
      </c>
      <c r="G15" s="29" t="n">
        <v>17.29</v>
      </c>
      <c r="H15" s="29" t="n">
        <v>54.7</v>
      </c>
      <c r="I15" s="4" t="inlineStr">
        <is>
          <t>Add tests</t>
        </is>
      </c>
      <c r="J15" s="4" t="n">
        <v>1</v>
      </c>
      <c r="K15" s="4" t="n">
        <v>12</v>
      </c>
      <c r="L15" s="29" t="n">
        <v>49.42616667056294</v>
      </c>
      <c r="M15" s="4" t="inlineStr">
        <is>
          <t>Tier 1: fix first</t>
        </is>
      </c>
    </row>
    <row r="16">
      <c r="A16" s="4" t="inlineStr">
        <is>
          <t>api_docs</t>
        </is>
      </c>
      <c r="B16" s="4" t="inlineStr">
        <is>
          <t>API</t>
        </is>
      </c>
      <c r="C16" s="18" t="n">
        <v>8.550000000000001</v>
      </c>
      <c r="D16" s="4" t="n">
        <v>4</v>
      </c>
      <c r="E16" s="4" t="n">
        <v>1</v>
      </c>
      <c r="F16" s="29" t="n">
        <v>1161.8</v>
      </c>
      <c r="G16" s="29" t="n">
        <v>10.27</v>
      </c>
      <c r="H16" s="29" t="n">
        <v>87.40000000000001</v>
      </c>
      <c r="I16" s="4" t="inlineStr">
        <is>
          <t>Priority code review</t>
        </is>
      </c>
      <c r="J16" s="4" t="n">
        <v>0</v>
      </c>
      <c r="K16" s="4" t="n">
        <v>4</v>
      </c>
      <c r="L16" s="29" t="n">
        <v>26.86978445800045</v>
      </c>
      <c r="M16" s="4" t="inlineStr">
        <is>
          <t>Tier 2: watch closely</t>
        </is>
      </c>
    </row>
    <row r="17">
      <c r="A17" s="4" t="inlineStr">
        <is>
          <t>payments_wallet</t>
        </is>
      </c>
      <c r="B17" s="4" t="inlineStr">
        <is>
          <t>Payments</t>
        </is>
      </c>
      <c r="C17" s="18" t="n">
        <v>4.54</v>
      </c>
      <c r="D17" s="4" t="n">
        <v>1</v>
      </c>
      <c r="E17" s="4" t="n">
        <v>3</v>
      </c>
      <c r="F17" s="29" t="n">
        <v>563.7</v>
      </c>
      <c r="G17" s="29" t="n">
        <v>25.49</v>
      </c>
      <c r="H17" s="29" t="n">
        <v>36.9</v>
      </c>
      <c r="I17" s="4" t="inlineStr">
        <is>
          <t>Code review + more tests</t>
        </is>
      </c>
      <c r="J17" s="4" t="n">
        <v>0</v>
      </c>
      <c r="K17" s="4" t="n">
        <v>5</v>
      </c>
      <c r="L17" s="29" t="n">
        <v>63.8588031714629</v>
      </c>
      <c r="M17" s="4" t="inlineStr">
        <is>
          <t>Tier 2: watch closely</t>
        </is>
      </c>
    </row>
    <row r="18">
      <c r="A18" s="4" t="inlineStr">
        <is>
          <t>payments_gateway</t>
        </is>
      </c>
      <c r="B18" s="4" t="inlineStr">
        <is>
          <t>Payments</t>
        </is>
      </c>
      <c r="C18" s="18" t="n">
        <v>2.11</v>
      </c>
      <c r="D18" s="4" t="n">
        <v>1</v>
      </c>
      <c r="E18" s="4" t="n">
        <v>4</v>
      </c>
      <c r="F18" s="29" t="n">
        <v>326.7</v>
      </c>
      <c r="G18" s="29" t="n">
        <v>22.8</v>
      </c>
      <c r="H18" s="29" t="n">
        <v>65.40000000000001</v>
      </c>
      <c r="I18" s="4" t="inlineStr">
        <is>
          <t>Monitor</t>
        </is>
      </c>
      <c r="J18" s="4" t="n">
        <v>1</v>
      </c>
      <c r="K18" s="4" t="n">
        <v>7</v>
      </c>
      <c r="L18" s="29" t="n">
        <v>50.18255742778457</v>
      </c>
      <c r="M18" s="4" t="inlineStr">
        <is>
          <t>Tier 2: watch closely</t>
        </is>
      </c>
    </row>
    <row r="19">
      <c r="A19" s="4" t="inlineStr">
        <is>
          <t>api_versioning</t>
        </is>
      </c>
      <c r="B19" s="4" t="inlineStr">
        <is>
          <t>API</t>
        </is>
      </c>
      <c r="C19" s="18" t="n">
        <v>1.75</v>
      </c>
      <c r="D19" s="4" t="n">
        <v>1</v>
      </c>
      <c r="E19" s="4" t="n">
        <v>3</v>
      </c>
      <c r="F19" s="29" t="n">
        <v>594.2</v>
      </c>
      <c r="G19" s="29" t="n">
        <v>15.06</v>
      </c>
      <c r="H19" s="29" t="n">
        <v>59.5</v>
      </c>
      <c r="I19" s="4" t="inlineStr">
        <is>
          <t>Code review + more tests</t>
        </is>
      </c>
      <c r="J19" s="4" t="n">
        <v>0</v>
      </c>
      <c r="K19" s="4" t="n">
        <v>4</v>
      </c>
      <c r="L19" s="29" t="n">
        <v>42.88935300381905</v>
      </c>
      <c r="M19" s="4" t="inlineStr">
        <is>
          <t>Tier 2: watch closely</t>
        </is>
      </c>
    </row>
    <row r="20">
      <c r="A20" s="4" t="inlineStr">
        <is>
          <t>auth_token</t>
        </is>
      </c>
      <c r="B20" s="4" t="inlineStr">
        <is>
          <t>Auth</t>
        </is>
      </c>
      <c r="C20" s="18" t="n">
        <v>1.45</v>
      </c>
      <c r="D20" s="4" t="n">
        <v>0</v>
      </c>
      <c r="E20" s="4" t="n">
        <v>3</v>
      </c>
      <c r="F20" s="29" t="n">
        <v>424.1</v>
      </c>
      <c r="G20" s="29" t="n">
        <v>18.9</v>
      </c>
      <c r="H20" s="29" t="n">
        <v>59.3</v>
      </c>
      <c r="I20" s="4" t="inlineStr">
        <is>
          <t>Code review + more tests</t>
        </is>
      </c>
      <c r="J20" s="4" t="n">
        <v>0</v>
      </c>
      <c r="K20" s="4" t="n">
        <v>5</v>
      </c>
      <c r="L20" s="29" t="n">
        <v>43.93068804465648</v>
      </c>
      <c r="M20" s="4" t="inlineStr">
        <is>
          <t>Tier 2: watch closely</t>
        </is>
      </c>
    </row>
    <row r="21">
      <c r="A21" s="4" t="inlineStr">
        <is>
          <t>database_backup</t>
        </is>
      </c>
      <c r="B21" s="4" t="inlineStr">
        <is>
          <t>Database</t>
        </is>
      </c>
      <c r="C21" s="18" t="n">
        <v>1.32</v>
      </c>
      <c r="D21" s="4" t="n">
        <v>0</v>
      </c>
      <c r="E21" s="4" t="n">
        <v>2</v>
      </c>
      <c r="F21" s="29" t="n">
        <v>583</v>
      </c>
      <c r="G21" s="29" t="n">
        <v>11.88</v>
      </c>
      <c r="H21" s="29" t="n">
        <v>49.8</v>
      </c>
      <c r="I21" s="4" t="inlineStr">
        <is>
          <t>Code review + more tests</t>
        </is>
      </c>
      <c r="J21" s="4" t="n">
        <v>0</v>
      </c>
      <c r="K21" s="4" t="n">
        <v>4</v>
      </c>
      <c r="L21" s="29" t="n">
        <v>35.51572551852752</v>
      </c>
      <c r="M21" s="4" t="inlineStr">
        <is>
          <t>Tier 2: watch closely</t>
        </is>
      </c>
    </row>
    <row r="22">
      <c r="A22" s="4" t="inlineStr">
        <is>
          <t>reporting_emailer</t>
        </is>
      </c>
      <c r="B22" s="4" t="inlineStr">
        <is>
          <t>Reporting</t>
        </is>
      </c>
      <c r="C22" s="18" t="n">
        <v>1.29</v>
      </c>
      <c r="D22" s="4" t="n">
        <v>0</v>
      </c>
      <c r="E22" s="4" t="n">
        <v>1</v>
      </c>
      <c r="F22" s="29" t="n">
        <v>618.9</v>
      </c>
      <c r="G22" s="29" t="n">
        <v>3.52</v>
      </c>
      <c r="H22" s="29" t="n">
        <v>71.90000000000001</v>
      </c>
      <c r="I22" s="4" t="inlineStr">
        <is>
          <t>Priority code review</t>
        </is>
      </c>
      <c r="J22" s="4" t="n">
        <v>0</v>
      </c>
      <c r="K22" s="4" t="n">
        <v>1</v>
      </c>
      <c r="L22" s="29" t="n">
        <v>19.83375963465889</v>
      </c>
      <c r="M22" s="4" t="inlineStr">
        <is>
          <t>Tier 2: watch closely</t>
        </is>
      </c>
    </row>
    <row r="23">
      <c r="A23" s="4" t="inlineStr">
        <is>
          <t>api_router</t>
        </is>
      </c>
      <c r="B23" s="4" t="inlineStr">
        <is>
          <t>API</t>
        </is>
      </c>
      <c r="C23" s="18" t="n">
        <v>1.15</v>
      </c>
      <c r="D23" s="4" t="n">
        <v>1</v>
      </c>
      <c r="E23" s="4" t="n">
        <v>2</v>
      </c>
      <c r="F23" s="29" t="n">
        <v>397.5</v>
      </c>
      <c r="G23" s="29" t="n">
        <v>3.89</v>
      </c>
      <c r="H23" s="29" t="n">
        <v>67.40000000000001</v>
      </c>
      <c r="I23" s="4" t="inlineStr">
        <is>
          <t>Priority code review</t>
        </is>
      </c>
      <c r="J23" s="4" t="n">
        <v>0</v>
      </c>
      <c r="K23" s="4" t="n">
        <v>2</v>
      </c>
      <c r="L23" s="29" t="n">
        <v>23.74645716779679</v>
      </c>
      <c r="M23" s="4" t="inlineStr">
        <is>
          <t>Tier 2: watch closely</t>
        </is>
      </c>
    </row>
    <row r="24">
      <c r="A24" s="4" t="inlineStr">
        <is>
          <t>reporting_pdfgen</t>
        </is>
      </c>
      <c r="B24" s="4" t="inlineStr">
        <is>
          <t>Reporting</t>
        </is>
      </c>
      <c r="C24" s="18" t="n">
        <v>0.74</v>
      </c>
      <c r="D24" s="4" t="n">
        <v>0</v>
      </c>
      <c r="E24" s="4" t="n">
        <v>2</v>
      </c>
      <c r="F24" s="29" t="n">
        <v>338.3</v>
      </c>
      <c r="G24" s="29" t="n">
        <v>2</v>
      </c>
      <c r="H24" s="29" t="n">
        <v>51</v>
      </c>
      <c r="I24" s="4" t="inlineStr">
        <is>
          <t>Add tests</t>
        </is>
      </c>
      <c r="J24" s="4" t="n">
        <v>0</v>
      </c>
      <c r="K24" s="4" t="n">
        <v>2</v>
      </c>
      <c r="L24" s="29" t="n">
        <v>30.18348157912353</v>
      </c>
      <c r="M24" s="4" t="inlineStr">
        <is>
          <t>Tier 2: watch closely</t>
        </is>
      </c>
    </row>
    <row r="25">
      <c r="A25" s="4" t="inlineStr">
        <is>
          <t>ui_profile</t>
        </is>
      </c>
      <c r="B25" s="4" t="inlineStr">
        <is>
          <t>UI</t>
        </is>
      </c>
      <c r="C25" s="18" t="n">
        <v>0.62</v>
      </c>
      <c r="D25" s="4" t="n">
        <v>0</v>
      </c>
      <c r="E25" s="4" t="n">
        <v>2</v>
      </c>
      <c r="F25" s="29" t="n">
        <v>49.4</v>
      </c>
      <c r="G25" s="29" t="n">
        <v>14.88</v>
      </c>
      <c r="H25" s="29" t="n">
        <v>57.3</v>
      </c>
      <c r="I25" s="4" t="inlineStr">
        <is>
          <t>Add tests</t>
        </is>
      </c>
      <c r="J25" s="4" t="n">
        <v>0</v>
      </c>
      <c r="K25" s="4" t="n">
        <v>5</v>
      </c>
      <c r="L25" s="29" t="n">
        <v>38.22343577751813</v>
      </c>
      <c r="M25" s="4" t="inlineStr">
        <is>
          <t>Tier 2: watch closely</t>
        </is>
      </c>
    </row>
    <row r="26">
      <c r="A26" s="4" t="inlineStr">
        <is>
          <t>database_pool</t>
        </is>
      </c>
      <c r="B26" s="4" t="inlineStr">
        <is>
          <t>Database</t>
        </is>
      </c>
      <c r="C26" s="18" t="n">
        <v>0.29</v>
      </c>
      <c r="D26" s="4" t="n">
        <v>0</v>
      </c>
      <c r="E26" s="4" t="n">
        <v>1</v>
      </c>
      <c r="F26" s="29" t="n">
        <v>77.09999999999999</v>
      </c>
      <c r="G26" s="29" t="n">
        <v>8.69</v>
      </c>
      <c r="H26" s="29" t="n">
        <v>52.9</v>
      </c>
      <c r="I26" s="4" t="inlineStr">
        <is>
          <t>Add tests</t>
        </is>
      </c>
      <c r="J26" s="4" t="n">
        <v>0</v>
      </c>
      <c r="K26" s="4" t="n">
        <v>1</v>
      </c>
      <c r="L26" s="29" t="n">
        <v>27.58250611415001</v>
      </c>
      <c r="M26" s="4" t="inlineStr">
        <is>
          <t>Tier 2: watch closely</t>
        </is>
      </c>
    </row>
    <row r="27">
      <c r="A27" s="4" t="inlineStr">
        <is>
          <t>database_indexing</t>
        </is>
      </c>
      <c r="B27" s="4" t="inlineStr">
        <is>
          <t>Database</t>
        </is>
      </c>
      <c r="C27" s="18" t="n">
        <v>0.19</v>
      </c>
      <c r="D27" s="4" t="n">
        <v>1</v>
      </c>
      <c r="E27" s="4" t="n">
        <v>1</v>
      </c>
      <c r="F27" s="29" t="n">
        <v>82</v>
      </c>
      <c r="G27" s="29" t="n">
        <v>9.01</v>
      </c>
      <c r="H27" s="29" t="n">
        <v>56.6</v>
      </c>
      <c r="I27" s="4" t="inlineStr">
        <is>
          <t>Add tests</t>
        </is>
      </c>
      <c r="J27" s="4" t="n">
        <v>0</v>
      </c>
      <c r="K27" s="4" t="n">
        <v>1</v>
      </c>
      <c r="L27" s="29" t="n">
        <v>30.25999934602542</v>
      </c>
      <c r="M27" s="4" t="inlineStr">
        <is>
          <t>Tier 2: watch closely</t>
        </is>
      </c>
    </row>
    <row r="28">
      <c r="A28" s="4" t="inlineStr">
        <is>
          <t>payments_checkout</t>
        </is>
      </c>
      <c r="B28" s="4" t="inlineStr">
        <is>
          <t>Payments</t>
        </is>
      </c>
      <c r="C28" s="18" t="n">
        <v>0.04</v>
      </c>
      <c r="D28" s="4" t="n">
        <v>3</v>
      </c>
      <c r="E28" s="4" t="n">
        <v>2</v>
      </c>
      <c r="F28" s="29" t="n">
        <v>426.2</v>
      </c>
      <c r="G28" s="29" t="n">
        <v>11.45</v>
      </c>
      <c r="H28" s="29" t="n">
        <v>68.59999999999999</v>
      </c>
      <c r="I28" s="4" t="inlineStr">
        <is>
          <t>Priority code review</t>
        </is>
      </c>
      <c r="J28" s="4" t="n">
        <v>0</v>
      </c>
      <c r="K28" s="4" t="n">
        <v>6</v>
      </c>
      <c r="L28" s="29" t="n">
        <v>31.06608997491078</v>
      </c>
      <c r="M28" s="4" t="inlineStr">
        <is>
          <t>Tier 2: watch closely</t>
        </is>
      </c>
    </row>
    <row r="29">
      <c r="A29" s="4" t="inlineStr">
        <is>
          <t>ui_navbar</t>
        </is>
      </c>
      <c r="B29" s="4" t="inlineStr">
        <is>
          <t>UI</t>
        </is>
      </c>
      <c r="C29" s="18" t="n">
        <v>1.02</v>
      </c>
      <c r="D29" s="4" t="n">
        <v>1</v>
      </c>
      <c r="E29" s="4" t="n">
        <v>2</v>
      </c>
      <c r="F29" s="29" t="n">
        <v>259.8</v>
      </c>
      <c r="G29" s="29" t="n">
        <v>22.03</v>
      </c>
      <c r="H29" s="29" t="n">
        <v>63.3</v>
      </c>
      <c r="I29" s="4" t="inlineStr">
        <is>
          <t>Monitor</t>
        </is>
      </c>
      <c r="J29" s="4" t="n">
        <v>0</v>
      </c>
      <c r="K29" s="4" t="n">
        <v>3</v>
      </c>
      <c r="L29" s="29" t="n">
        <v>37.2339809141212</v>
      </c>
      <c r="M29" s="4" t="inlineStr">
        <is>
          <t>Tier 3: monitor</t>
        </is>
      </c>
    </row>
    <row r="30">
      <c r="A30" s="4" t="inlineStr">
        <is>
          <t>payments_invoice</t>
        </is>
      </c>
      <c r="B30" s="4" t="inlineStr">
        <is>
          <t>Payments</t>
        </is>
      </c>
      <c r="C30" s="18" t="n">
        <v>1</v>
      </c>
      <c r="D30" s="4" t="n">
        <v>4</v>
      </c>
      <c r="E30" s="4" t="n">
        <v>4</v>
      </c>
      <c r="F30" s="29" t="n">
        <v>309.1</v>
      </c>
      <c r="G30" s="29" t="n">
        <v>16.67</v>
      </c>
      <c r="H30" s="29" t="n">
        <v>63.8</v>
      </c>
      <c r="I30" s="4" t="inlineStr">
        <is>
          <t>Monitor</t>
        </is>
      </c>
      <c r="J30" s="4" t="n">
        <v>1</v>
      </c>
      <c r="K30" s="4" t="n">
        <v>12</v>
      </c>
      <c r="L30" s="29" t="n">
        <v>47.41062218362571</v>
      </c>
      <c r="M30" s="4" t="inlineStr">
        <is>
          <t>Tier 3: monitor</t>
        </is>
      </c>
    </row>
    <row r="31">
      <c r="A31" s="4" t="inlineStr">
        <is>
          <t>ui_dashboard</t>
        </is>
      </c>
      <c r="B31" s="4" t="inlineStr">
        <is>
          <t>UI</t>
        </is>
      </c>
      <c r="C31" s="18" t="n">
        <v>0.91</v>
      </c>
      <c r="D31" s="4" t="n">
        <v>0</v>
      </c>
      <c r="E31" s="4" t="n">
        <v>1</v>
      </c>
      <c r="F31" s="29" t="n">
        <v>244.8</v>
      </c>
      <c r="G31" s="29" t="n">
        <v>21.02</v>
      </c>
      <c r="H31" s="29" t="n">
        <v>65.09999999999999</v>
      </c>
      <c r="I31" s="4" t="inlineStr">
        <is>
          <t>Monitor</t>
        </is>
      </c>
      <c r="J31" s="4" t="n">
        <v>0</v>
      </c>
      <c r="K31" s="4" t="n">
        <v>3</v>
      </c>
      <c r="L31" s="29" t="n">
        <v>40.66375365286233</v>
      </c>
      <c r="M31" s="4" t="inlineStr">
        <is>
          <t>Tier 3: monitor</t>
        </is>
      </c>
    </row>
    <row r="32">
      <c r="A32" s="4" t="inlineStr">
        <is>
          <t>database_cache</t>
        </is>
      </c>
      <c r="B32" s="4" t="inlineStr">
        <is>
          <t>Database</t>
        </is>
      </c>
      <c r="C32" s="18" t="n">
        <v>0.91</v>
      </c>
      <c r="D32" s="4" t="n">
        <v>1</v>
      </c>
      <c r="E32" s="4" t="n">
        <v>2</v>
      </c>
      <c r="F32" s="29" t="n">
        <v>164.8</v>
      </c>
      <c r="G32" s="29" t="n">
        <v>14.7</v>
      </c>
      <c r="H32" s="29" t="n">
        <v>64.59999999999999</v>
      </c>
      <c r="I32" s="4" t="inlineStr">
        <is>
          <t>Monitor</t>
        </is>
      </c>
      <c r="J32" s="4" t="n">
        <v>0</v>
      </c>
      <c r="K32" s="4" t="n">
        <v>2</v>
      </c>
      <c r="L32" s="29" t="n">
        <v>35.36065514774864</v>
      </c>
      <c r="M32" s="4" t="inlineStr">
        <is>
          <t>Tier 3: monitor</t>
        </is>
      </c>
    </row>
    <row r="33">
      <c r="A33" s="4" t="inlineStr">
        <is>
          <t>database_replication</t>
        </is>
      </c>
      <c r="B33" s="4" t="inlineStr">
        <is>
          <t>Database</t>
        </is>
      </c>
      <c r="C33" s="18" t="n">
        <v>0.8100000000000001</v>
      </c>
      <c r="D33" s="4" t="n">
        <v>2</v>
      </c>
      <c r="E33" s="4" t="n">
        <v>5</v>
      </c>
      <c r="F33" s="29" t="n">
        <v>95.90000000000001</v>
      </c>
      <c r="G33" s="29" t="n">
        <v>15.7</v>
      </c>
      <c r="H33" s="29" t="n">
        <v>63.1</v>
      </c>
      <c r="I33" s="4" t="inlineStr">
        <is>
          <t>Monitor</t>
        </is>
      </c>
      <c r="J33" s="4" t="n">
        <v>1</v>
      </c>
      <c r="K33" s="4" t="n">
        <v>10</v>
      </c>
      <c r="L33" s="29" t="n">
        <v>41.3756764034146</v>
      </c>
      <c r="M33" s="4" t="inlineStr">
        <is>
          <t>Tier 3: monitor</t>
        </is>
      </c>
    </row>
    <row r="34">
      <c r="A34" s="4" t="inlineStr">
        <is>
          <t>reporting_templates</t>
        </is>
      </c>
      <c r="B34" s="4" t="inlineStr">
        <is>
          <t>Reporting</t>
        </is>
      </c>
      <c r="C34" s="18" t="n">
        <v>0.78</v>
      </c>
      <c r="D34" s="4" t="n">
        <v>0</v>
      </c>
      <c r="E34" s="4" t="n">
        <v>3</v>
      </c>
      <c r="F34" s="29" t="n">
        <v>47.1</v>
      </c>
      <c r="G34" s="29" t="n">
        <v>9.029999999999999</v>
      </c>
      <c r="H34" s="29" t="n">
        <v>67.5</v>
      </c>
      <c r="I34" s="4" t="inlineStr">
        <is>
          <t>Monitor</t>
        </is>
      </c>
      <c r="J34" s="4" t="n">
        <v>0</v>
      </c>
      <c r="K34" s="4" t="n">
        <v>4</v>
      </c>
      <c r="L34" s="29" t="n">
        <v>28.0257251681485</v>
      </c>
      <c r="M34" s="4" t="inlineStr">
        <is>
          <t>Tier 3: monitor</t>
        </is>
      </c>
    </row>
    <row r="35">
      <c r="A35" s="4" t="inlineStr">
        <is>
          <t>ui_forms</t>
        </is>
      </c>
      <c r="B35" s="4" t="inlineStr">
        <is>
          <t>UI</t>
        </is>
      </c>
      <c r="C35" s="18" t="n">
        <v>0.71</v>
      </c>
      <c r="D35" s="4" t="n">
        <v>1</v>
      </c>
      <c r="E35" s="4" t="n">
        <v>4</v>
      </c>
      <c r="F35" s="29" t="n">
        <v>323</v>
      </c>
      <c r="G35" s="29" t="n">
        <v>17.34</v>
      </c>
      <c r="H35" s="29" t="n">
        <v>67.40000000000001</v>
      </c>
      <c r="I35" s="4" t="inlineStr">
        <is>
          <t>Monitor</t>
        </is>
      </c>
      <c r="J35" s="4" t="n">
        <v>1</v>
      </c>
      <c r="K35" s="4" t="n">
        <v>4</v>
      </c>
      <c r="L35" s="29" t="n">
        <v>39.42911312359964</v>
      </c>
      <c r="M35" s="4" t="inlineStr">
        <is>
          <t>Tier 3: monitor</t>
        </is>
      </c>
    </row>
    <row r="36">
      <c r="A36" s="4" t="inlineStr">
        <is>
          <t>ui_search</t>
        </is>
      </c>
      <c r="B36" s="4" t="inlineStr">
        <is>
          <t>UI</t>
        </is>
      </c>
      <c r="C36" s="18" t="n">
        <v>0.62</v>
      </c>
      <c r="D36" s="4" t="n">
        <v>2</v>
      </c>
      <c r="E36" s="4" t="n">
        <v>2</v>
      </c>
      <c r="F36" s="29" t="n">
        <v>153.4</v>
      </c>
      <c r="G36" s="29" t="n">
        <v>10.78</v>
      </c>
      <c r="H36" s="29" t="n">
        <v>63.6</v>
      </c>
      <c r="I36" s="4" t="inlineStr">
        <is>
          <t>Monitor</t>
        </is>
      </c>
      <c r="J36" s="4" t="n">
        <v>0</v>
      </c>
      <c r="K36" s="4" t="n">
        <v>6</v>
      </c>
      <c r="L36" s="29" t="n">
        <v>41.68442929659757</v>
      </c>
      <c r="M36" s="4" t="inlineStr">
        <is>
          <t>Tier 3: monitor</t>
        </is>
      </c>
    </row>
    <row r="37">
      <c r="A37" s="4" t="inlineStr">
        <is>
          <t>auth_rbac</t>
        </is>
      </c>
      <c r="B37" s="4" t="inlineStr">
        <is>
          <t>Auth</t>
        </is>
      </c>
      <c r="C37" s="18" t="n">
        <v>0.57</v>
      </c>
      <c r="D37" s="4" t="n">
        <v>0</v>
      </c>
      <c r="E37" s="4" t="n">
        <v>2</v>
      </c>
      <c r="F37" s="29" t="n">
        <v>296.5</v>
      </c>
      <c r="G37" s="29" t="n">
        <v>20.46</v>
      </c>
      <c r="H37" s="29" t="n">
        <v>76.15000000000001</v>
      </c>
      <c r="I37" s="4" t="inlineStr">
        <is>
          <t>Monitor</t>
        </is>
      </c>
      <c r="J37" s="4" t="n">
        <v>0</v>
      </c>
      <c r="K37" s="4" t="n">
        <v>2</v>
      </c>
      <c r="L37" s="29" t="n">
        <v>33.80459631839292</v>
      </c>
      <c r="M37" s="4" t="inlineStr">
        <is>
          <t>Tier 3: monitor</t>
        </is>
      </c>
    </row>
    <row r="38">
      <c r="A38" s="4" t="inlineStr">
        <is>
          <t>auth_audit</t>
        </is>
      </c>
      <c r="B38" s="4" t="inlineStr">
        <is>
          <t>Auth</t>
        </is>
      </c>
      <c r="C38" s="18" t="n">
        <v>0.57</v>
      </c>
      <c r="D38" s="4" t="n">
        <v>0</v>
      </c>
      <c r="E38" s="4" t="n">
        <v>2</v>
      </c>
      <c r="F38" s="29" t="n">
        <v>108.4</v>
      </c>
      <c r="G38" s="29" t="n">
        <v>19.32</v>
      </c>
      <c r="H38" s="29" t="n">
        <v>67.3</v>
      </c>
      <c r="I38" s="4" t="inlineStr">
        <is>
          <t>Monitor</t>
        </is>
      </c>
      <c r="J38" s="4" t="n">
        <v>0</v>
      </c>
      <c r="K38" s="4" t="n">
        <v>5</v>
      </c>
      <c r="L38" s="29" t="n">
        <v>38.30843367765102</v>
      </c>
      <c r="M38" s="4" t="inlineStr">
        <is>
          <t>Tier 3: monitor</t>
        </is>
      </c>
    </row>
    <row r="39">
      <c r="A39" s="4" t="inlineStr">
        <is>
          <t>auth_mfa</t>
        </is>
      </c>
      <c r="B39" s="4" t="inlineStr">
        <is>
          <t>Auth</t>
        </is>
      </c>
      <c r="C39" s="18" t="n">
        <v>0.46</v>
      </c>
      <c r="D39" s="4" t="n">
        <v>0</v>
      </c>
      <c r="E39" s="4" t="n">
        <v>0</v>
      </c>
      <c r="F39" s="29" t="n">
        <v>149.5</v>
      </c>
      <c r="G39" s="29" t="n">
        <v>5.76</v>
      </c>
      <c r="H39" s="29" t="n">
        <v>68.40000000000001</v>
      </c>
      <c r="I39" s="4" t="inlineStr">
        <is>
          <t>Monitor</t>
        </is>
      </c>
      <c r="J39" s="4" t="n">
        <v>0</v>
      </c>
      <c r="K39" s="4" t="n">
        <v>0</v>
      </c>
      <c r="L39" s="29" t="n">
        <v>25.09918024976919</v>
      </c>
      <c r="M39" s="4" t="inlineStr">
        <is>
          <t>Tier 3: monitor</t>
        </is>
      </c>
    </row>
    <row r="40">
      <c r="A40" s="4" t="inlineStr">
        <is>
          <t>reporting_analytics</t>
        </is>
      </c>
      <c r="B40" s="4" t="inlineStr">
        <is>
          <t>Reporting</t>
        </is>
      </c>
      <c r="C40" s="18" t="n">
        <v>0.33</v>
      </c>
      <c r="D40" s="4" t="n">
        <v>0</v>
      </c>
      <c r="E40" s="4" t="n">
        <v>1</v>
      </c>
      <c r="F40" s="29" t="n">
        <v>51.2</v>
      </c>
      <c r="G40" s="29" t="n">
        <v>16.58</v>
      </c>
      <c r="H40" s="29" t="n">
        <v>77.40000000000001</v>
      </c>
      <c r="I40" s="4" t="inlineStr">
        <is>
          <t>Monitor</t>
        </is>
      </c>
      <c r="J40" s="4" t="n">
        <v>0</v>
      </c>
      <c r="K40" s="4" t="n">
        <v>2</v>
      </c>
      <c r="L40" s="29" t="n">
        <v>30.54118908597229</v>
      </c>
      <c r="M40" s="4" t="inlineStr">
        <is>
          <t>Tier 3: monitor</t>
        </is>
      </c>
    </row>
    <row r="41">
      <c r="A41" s="4" t="inlineStr">
        <is>
          <t>api_validator</t>
        </is>
      </c>
      <c r="B41" s="4" t="inlineStr">
        <is>
          <t>API</t>
        </is>
      </c>
      <c r="C41" s="18" t="n">
        <v>0.32</v>
      </c>
      <c r="D41" s="4" t="n">
        <v>4</v>
      </c>
      <c r="E41" s="4" t="n">
        <v>2</v>
      </c>
      <c r="F41" s="29" t="n">
        <v>325.85</v>
      </c>
      <c r="G41" s="29" t="n">
        <v>3.79</v>
      </c>
      <c r="H41" s="29" t="n">
        <v>75.09999999999999</v>
      </c>
      <c r="I41" s="4" t="inlineStr">
        <is>
          <t>Monitor</t>
        </is>
      </c>
      <c r="J41" s="4" t="n">
        <v>0</v>
      </c>
      <c r="K41" s="4" t="n">
        <v>6</v>
      </c>
      <c r="L41" s="29" t="n">
        <v>23.17911863986469</v>
      </c>
      <c r="M41" s="4" t="inlineStr">
        <is>
          <t>Tier 3: monitor</t>
        </is>
      </c>
    </row>
    <row r="42">
      <c r="A42" s="4" t="inlineStr">
        <is>
          <t>reporting_aggregator</t>
        </is>
      </c>
      <c r="B42" s="4" t="inlineStr">
        <is>
          <t>Reporting</t>
        </is>
      </c>
      <c r="C42" s="18" t="n">
        <v>0.31</v>
      </c>
      <c r="D42" s="4" t="n">
        <v>0</v>
      </c>
      <c r="E42" s="4" t="n">
        <v>0</v>
      </c>
      <c r="F42" s="29" t="n">
        <v>131.1</v>
      </c>
      <c r="G42" s="29" t="n">
        <v>6.31</v>
      </c>
      <c r="H42" s="29" t="n">
        <v>76.90000000000001</v>
      </c>
      <c r="I42" s="4" t="inlineStr">
        <is>
          <t>Monitor</t>
        </is>
      </c>
      <c r="J42" s="4" t="n">
        <v>0</v>
      </c>
      <c r="K42" s="4" t="n">
        <v>0</v>
      </c>
      <c r="L42" s="29" t="n">
        <v>19.31448880553001</v>
      </c>
      <c r="M42" s="4" t="inlineStr">
        <is>
          <t>Tier 3: monitor</t>
        </is>
      </c>
    </row>
    <row r="43">
      <c r="A43" s="4" t="inlineStr">
        <is>
          <t>payments_tax</t>
        </is>
      </c>
      <c r="B43" s="4" t="inlineStr">
        <is>
          <t>Payments</t>
        </is>
      </c>
      <c r="C43" s="18" t="n">
        <v>0.28</v>
      </c>
      <c r="D43" s="4" t="n">
        <v>1</v>
      </c>
      <c r="E43" s="4" t="n">
        <v>2</v>
      </c>
      <c r="F43" s="29" t="n">
        <v>110.7</v>
      </c>
      <c r="G43" s="29" t="n">
        <v>15.43</v>
      </c>
      <c r="H43" s="29" t="n">
        <v>70.3</v>
      </c>
      <c r="I43" s="4" t="inlineStr">
        <is>
          <t>Monitor</t>
        </is>
      </c>
      <c r="J43" s="4" t="n">
        <v>0</v>
      </c>
      <c r="K43" s="4" t="n">
        <v>3</v>
      </c>
      <c r="L43" s="29" t="n">
        <v>30.17320747338134</v>
      </c>
      <c r="M43" s="4" t="inlineStr">
        <is>
          <t>Tier 3: monitor</t>
        </is>
      </c>
    </row>
    <row r="44">
      <c r="A44" s="4" t="inlineStr">
        <is>
          <t>database_orm</t>
        </is>
      </c>
      <c r="B44" s="4" t="inlineStr">
        <is>
          <t>Database</t>
        </is>
      </c>
      <c r="C44" s="18" t="n">
        <v>0.24</v>
      </c>
      <c r="D44" s="4" t="n">
        <v>1</v>
      </c>
      <c r="E44" s="4" t="n">
        <v>4</v>
      </c>
      <c r="F44" s="29" t="n">
        <v>57.1</v>
      </c>
      <c r="G44" s="29" t="n">
        <v>16.34</v>
      </c>
      <c r="H44" s="29" t="n">
        <v>98</v>
      </c>
      <c r="I44" s="4" t="inlineStr">
        <is>
          <t>Monitor</t>
        </is>
      </c>
      <c r="J44" s="4" t="n">
        <v>1</v>
      </c>
      <c r="K44" s="4" t="n">
        <v>6</v>
      </c>
      <c r="L44" s="29" t="n">
        <v>24.01578783619016</v>
      </c>
      <c r="M44" s="4" t="inlineStr">
        <is>
          <t>Tier 3: monitor</t>
        </is>
      </c>
    </row>
    <row r="45">
      <c r="A45" s="4" t="inlineStr">
        <is>
          <t>api_graphql</t>
        </is>
      </c>
      <c r="B45" s="4" t="inlineStr">
        <is>
          <t>API</t>
        </is>
      </c>
      <c r="C45" s="18" t="n">
        <v>0.14</v>
      </c>
      <c r="D45" s="4" t="n">
        <v>0</v>
      </c>
      <c r="E45" s="4" t="n">
        <v>0</v>
      </c>
      <c r="F45" s="29" t="n">
        <v>243.7</v>
      </c>
      <c r="G45" s="29" t="n">
        <v>11.63</v>
      </c>
      <c r="H45" s="29" t="n">
        <v>81</v>
      </c>
      <c r="I45" s="4" t="inlineStr">
        <is>
          <t>Monitor</t>
        </is>
      </c>
      <c r="J45" s="4" t="n">
        <v>0</v>
      </c>
      <c r="K45" s="4" t="n">
        <v>0</v>
      </c>
      <c r="L45" s="29" t="n">
        <v>27.75120293323402</v>
      </c>
      <c r="M45" s="4" t="inlineStr">
        <is>
          <t>Tier 3: monitor</t>
        </is>
      </c>
    </row>
    <row r="46">
      <c r="A46" s="4" t="inlineStr">
        <is>
          <t>auth_oauth</t>
        </is>
      </c>
      <c r="B46" s="4" t="inlineStr">
        <is>
          <t>Auth</t>
        </is>
      </c>
      <c r="C46" s="18" t="n">
        <v>0.13</v>
      </c>
      <c r="D46" s="4" t="n">
        <v>1</v>
      </c>
      <c r="E46" s="4" t="n">
        <v>2</v>
      </c>
      <c r="F46" s="29" t="n">
        <v>111.6</v>
      </c>
      <c r="G46" s="29" t="n">
        <v>12.67</v>
      </c>
      <c r="H46" s="29" t="n">
        <v>77.55</v>
      </c>
      <c r="I46" s="4" t="inlineStr">
        <is>
          <t>Monitor</t>
        </is>
      </c>
      <c r="J46" s="4" t="n">
        <v>0</v>
      </c>
      <c r="K46" s="4" t="n">
        <v>2</v>
      </c>
      <c r="L46" s="29" t="n">
        <v>23.30461427646158</v>
      </c>
      <c r="M46" s="4" t="inlineStr">
        <is>
          <t>Tier 3: monitor</t>
        </is>
      </c>
    </row>
    <row r="47">
      <c r="A47" s="4" t="inlineStr">
        <is>
          <t>payments_refund</t>
        </is>
      </c>
      <c r="B47" s="4" t="inlineStr">
        <is>
          <t>Payments</t>
        </is>
      </c>
      <c r="C47" s="18" t="n">
        <v>0.12</v>
      </c>
      <c r="D47" s="4" t="n">
        <v>0</v>
      </c>
      <c r="E47" s="4" t="n">
        <v>3</v>
      </c>
      <c r="F47" s="29" t="n">
        <v>352.4</v>
      </c>
      <c r="G47" s="29" t="n">
        <v>9.449999999999999</v>
      </c>
      <c r="H47" s="29" t="n">
        <v>74.09999999999999</v>
      </c>
      <c r="I47" s="4" t="inlineStr">
        <is>
          <t>Monitor</t>
        </is>
      </c>
      <c r="J47" s="4" t="n">
        <v>0</v>
      </c>
      <c r="K47" s="4" t="n">
        <v>3</v>
      </c>
      <c r="L47" s="29" t="n">
        <v>21.22203457320831</v>
      </c>
      <c r="M47" s="4" t="inlineStr">
        <is>
          <t>Tier 3: monitor</t>
        </is>
      </c>
    </row>
    <row r="48">
      <c r="A48" s="4" t="inlineStr">
        <is>
          <t>api_ratelimit</t>
        </is>
      </c>
      <c r="B48" s="4" t="inlineStr">
        <is>
          <t>API</t>
        </is>
      </c>
      <c r="C48" s="18" t="n">
        <v>0.11</v>
      </c>
      <c r="D48" s="4" t="n">
        <v>0</v>
      </c>
      <c r="E48" s="4" t="n">
        <v>0</v>
      </c>
      <c r="F48" s="29" t="n">
        <v>210.6</v>
      </c>
      <c r="G48" s="29" t="n">
        <v>13.44</v>
      </c>
      <c r="H48" s="29" t="n">
        <v>70.8</v>
      </c>
      <c r="I48" s="4" t="inlineStr">
        <is>
          <t>Monitor</t>
        </is>
      </c>
      <c r="J48" s="4" t="n">
        <v>0</v>
      </c>
      <c r="K48" s="4" t="n">
        <v>0</v>
      </c>
      <c r="L48" s="29" t="n">
        <v>33.98979208155437</v>
      </c>
      <c r="M48" s="4" t="inlineStr">
        <is>
          <t>Tier 3: monitor</t>
        </is>
      </c>
    </row>
    <row r="49">
      <c r="A49" s="4" t="inlineStr">
        <is>
          <t>auth_login</t>
        </is>
      </c>
      <c r="B49" s="4" t="inlineStr">
        <is>
          <t>Auth</t>
        </is>
      </c>
      <c r="C49" s="18" t="n">
        <v>0.1</v>
      </c>
      <c r="D49" s="4" t="n">
        <v>0</v>
      </c>
      <c r="E49" s="4" t="n">
        <v>0</v>
      </c>
      <c r="F49" s="29" t="n">
        <v>168.5</v>
      </c>
      <c r="G49" s="29" t="n">
        <v>10.71</v>
      </c>
      <c r="H49" s="29" t="n">
        <v>74.40000000000001</v>
      </c>
      <c r="I49" s="4" t="inlineStr">
        <is>
          <t>Monitor</t>
        </is>
      </c>
      <c r="J49" s="4" t="n">
        <v>0</v>
      </c>
      <c r="K49" s="4" t="n">
        <v>0</v>
      </c>
      <c r="L49" s="29" t="n">
        <v>25.49075437400446</v>
      </c>
      <c r="M49" s="4" t="inlineStr">
        <is>
          <t>Tier 3: monitor</t>
        </is>
      </c>
    </row>
    <row r="50">
      <c r="A50" s="4" t="inlineStr">
        <is>
          <t>auth_password</t>
        </is>
      </c>
      <c r="B50" s="4" t="inlineStr">
        <is>
          <t>Auth</t>
        </is>
      </c>
      <c r="C50" s="18" t="n">
        <v>0.08</v>
      </c>
      <c r="D50" s="4" t="n">
        <v>0</v>
      </c>
      <c r="E50" s="4" t="n">
        <v>0</v>
      </c>
      <c r="F50" s="29" t="n">
        <v>260</v>
      </c>
      <c r="G50" s="29" t="n">
        <v>12.1</v>
      </c>
      <c r="H50" s="29" t="n">
        <v>73.7</v>
      </c>
      <c r="I50" s="4" t="inlineStr">
        <is>
          <t>Monitor</t>
        </is>
      </c>
      <c r="J50" s="4" t="n">
        <v>0</v>
      </c>
      <c r="K50" s="4" t="n">
        <v>0</v>
      </c>
      <c r="L50" s="29" t="n">
        <v>25.81144910941496</v>
      </c>
      <c r="M50" s="4" t="inlineStr">
        <is>
          <t>Tier 3: monitor</t>
        </is>
      </c>
    </row>
    <row r="51">
      <c r="A51" s="4" t="inlineStr">
        <is>
          <t>payments_subscription</t>
        </is>
      </c>
      <c r="B51" s="4" t="inlineStr">
        <is>
          <t>Payments</t>
        </is>
      </c>
      <c r="C51" s="18" t="n">
        <v>0.07000000000000001</v>
      </c>
      <c r="D51" s="4" t="n">
        <v>0</v>
      </c>
      <c r="E51" s="4" t="n">
        <v>3</v>
      </c>
      <c r="F51" s="29" t="n">
        <v>265.5</v>
      </c>
      <c r="G51" s="29" t="n">
        <v>8.470000000000001</v>
      </c>
      <c r="H51" s="29" t="n">
        <v>78.3</v>
      </c>
      <c r="I51" s="4" t="inlineStr">
        <is>
          <t>Monitor</t>
        </is>
      </c>
      <c r="J51" s="4" t="n">
        <v>0</v>
      </c>
      <c r="K51" s="4" t="n">
        <v>4</v>
      </c>
      <c r="L51" s="29" t="n">
        <v>29.12382813830536</v>
      </c>
      <c r="M51" s="4" t="inlineStr">
        <is>
          <t>Tier 3: monitor</t>
        </is>
      </c>
    </row>
  </sheetData>
  <conditionalFormatting sqref="A5:M51">
    <cfRule type="expression" priority="1" dxfId="0">
      <formula>LEFT($M5,6)="Tier 1"</formula>
    </cfRule>
    <cfRule type="expression" priority="2" dxfId="1">
      <formula>LEFT($M5,6)="Tier 2"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A1:N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1" customWidth="1" min="5" max="5"/>
    <col width="12" customWidth="1" min="6" max="6"/>
    <col width="11" customWidth="1" min="7" max="7"/>
    <col width="11" customWidth="1" min="8" max="8"/>
    <col width="13" customWidth="1" min="9" max="9"/>
    <col width="13" customWidth="1" min="10" max="10"/>
    <col width="14" customWidth="1" min="11" max="11"/>
    <col width="17" customWidth="1" min="12" max="12"/>
    <col width="10" customWidth="1" min="13" max="13"/>
    <col width="22" customWidth="1" min="14" max="14"/>
  </cols>
  <sheetData>
    <row r="1" ht="42" customHeight="1">
      <c r="A1" s="7" t="inlineStr">
        <is>
          <t>module</t>
        </is>
      </c>
      <c r="B1" s="7" t="inlineStr">
        <is>
          <t>component</t>
        </is>
      </c>
      <c r="C1" s="7" t="inlineStr">
        <is>
          <t>language</t>
        </is>
      </c>
      <c r="D1" s="7" t="inlineStr">
        <is>
          <t>size (lines of code)</t>
        </is>
      </c>
      <c r="E1" s="7" t="inlineStr">
        <is>
          <t>total_defects</t>
        </is>
      </c>
      <c r="F1" s="7" t="inlineStr">
        <is>
          <t>avg_complexity</t>
        </is>
      </c>
      <c r="G1" s="7" t="inlineStr">
        <is>
          <t>avg_churn</t>
        </is>
      </c>
      <c r="H1" s="7" t="inlineStr">
        <is>
          <t>avg_coverage</t>
        </is>
      </c>
      <c r="I1" s="7" t="inlineStr">
        <is>
          <t>avg_contributors</t>
        </is>
      </c>
      <c r="J1" s="7" t="inlineStr">
        <is>
          <t>releases_with_defects</t>
        </is>
      </c>
      <c r="K1" s="7" t="inlineStr">
        <is>
          <t>defects_per_1000_lines</t>
        </is>
      </c>
      <c r="L1" s="7" t="inlineStr">
        <is>
          <t>repeat_defect_module (4+ releases)</t>
        </is>
      </c>
      <c r="M1" s="7" t="inlineStr">
        <is>
          <t>defects_rank</t>
        </is>
      </c>
      <c r="N1" s="7" t="inlineStr">
        <is>
          <t>priority_tier</t>
        </is>
      </c>
    </row>
    <row r="2">
      <c r="A2" s="4" t="inlineStr">
        <is>
          <t>api_gateway</t>
        </is>
      </c>
      <c r="B2" s="4" t="inlineStr">
        <is>
          <t>API</t>
        </is>
      </c>
      <c r="C2" s="4" t="inlineStr">
        <is>
          <t>Java</t>
        </is>
      </c>
      <c r="D2" s="4" t="n">
        <v>2296</v>
      </c>
      <c r="E2" s="4">
        <f>SUMIFS(Data!$S$2:$S$236,Data!$A$2:$A$236,$A2)</f>
        <v>29</v>
      </c>
      <c r="F2" s="29">
        <f>AVERAGEIFS(Data!$H$2:$H$236,Data!$A$2:$A$236,$A2)</f>
        <v>19.595</v>
      </c>
      <c r="G2" s="29">
        <f>AVERAGEIFS(Data!$J$2:$J$236,Data!$A$2:$A$236,$A2)</f>
        <v>513.16</v>
      </c>
      <c r="H2" s="29">
        <f>AVERAGEIFS(Data!$K$2:$K$236,Data!$A$2:$A$236,$A2)</f>
        <v>41.04</v>
      </c>
      <c r="I2" s="29">
        <f>AVERAGEIFS(Data!$M$2:$M$236,Data!$A$2:$A$236,$A2)</f>
        <v>4.4</v>
      </c>
      <c r="J2" s="4">
        <f>COUNTIFS(Data!$A$2:$A$236,$A2,Data!$S$2:$S$236,"&gt;0")</f>
        <v>5</v>
      </c>
      <c r="K2" s="18">
        <f>E2/D2*1000</f>
        <v>12.6306620209059</v>
      </c>
      <c r="L2" s="4">
        <f>IF(J2&gt;=4,1,0)</f>
        <v>1</v>
      </c>
      <c r="M2" s="4">
        <f>RANK(E2,$E$2:$E$48,0)+COUNTIF($E$2:E2,E2)-1</f>
        <v>1</v>
      </c>
      <c r="N2" s="4" t="str">
        <f>INDEX(Priority_List!$M$5:$M$51,MATCH($A2,Priority_List!$A$5:$A$51,0))</f>
        <v>Tier 1: fix first</v>
      </c>
    </row>
    <row r="3">
      <c r="A3" s="4" t="inlineStr">
        <is>
          <t>ui_notifications</t>
        </is>
      </c>
      <c r="B3" s="4" t="inlineStr">
        <is>
          <t>UI</t>
        </is>
      </c>
      <c r="C3" s="4" t="inlineStr">
        <is>
          <t>JavaScript</t>
        </is>
      </c>
      <c r="D3" s="4" t="n">
        <v>7222</v>
      </c>
      <c r="E3" s="4">
        <f>SUMIFS(Data!$S$2:$S$236,Data!$A$2:$A$236,$A3)</f>
        <v>25</v>
      </c>
      <c r="F3" s="29">
        <f>AVERAGEIFS(Data!$H$2:$H$236,Data!$A$2:$A$236,$A3)</f>
        <v>12.63</v>
      </c>
      <c r="G3" s="29">
        <f>AVERAGEIFS(Data!$J$2:$J$236,Data!$A$2:$A$236,$A3)</f>
        <v>808.79</v>
      </c>
      <c r="H3" s="29">
        <f>AVERAGEIFS(Data!$K$2:$K$236,Data!$A$2:$A$236,$A3)</f>
        <v>33.14</v>
      </c>
      <c r="I3" s="29">
        <f>AVERAGEIFS(Data!$M$2:$M$236,Data!$A$2:$A$236,$A3)</f>
        <v>5.2</v>
      </c>
      <c r="J3" s="4">
        <f>COUNTIFS(Data!$A$2:$A$236,$A3,Data!$S$2:$S$236,"&gt;0")</f>
        <v>4</v>
      </c>
      <c r="K3" s="18">
        <f>E3/D3*1000</f>
        <v>3.4616449736915</v>
      </c>
      <c r="L3" s="4">
        <f>IF(J3&gt;=4,1,0)</f>
        <v>1</v>
      </c>
      <c r="M3" s="4">
        <f>RANK(E3,$E$2:$E$48,0)+COUNTIF($E$2:E3,E3)-1</f>
        <v>2</v>
      </c>
      <c r="N3" s="4" t="str">
        <f>INDEX(Priority_List!$M$5:$M$51,MATCH($A3,Priority_List!$A$5:$A$51,0))</f>
        <v>Tier 1: fix first</v>
      </c>
    </row>
    <row r="4">
      <c r="A4" s="4" t="inlineStr">
        <is>
          <t>ui_themes</t>
        </is>
      </c>
      <c r="B4" s="4" t="inlineStr">
        <is>
          <t>UI</t>
        </is>
      </c>
      <c r="C4" s="4" t="inlineStr">
        <is>
          <t>JavaScript</t>
        </is>
      </c>
      <c r="D4" s="4" t="n">
        <v>2559</v>
      </c>
      <c r="E4" s="4">
        <f>SUMIFS(Data!$S$2:$S$236,Data!$A$2:$A$236,$A4)</f>
        <v>19</v>
      </c>
      <c r="F4" s="29">
        <f>AVERAGEIFS(Data!$H$2:$H$236,Data!$A$2:$A$236,$A4)</f>
        <v>31.171</v>
      </c>
      <c r="G4" s="29">
        <f>AVERAGEIFS(Data!$J$2:$J$236,Data!$A$2:$A$236,$A4)</f>
        <v>392.48</v>
      </c>
      <c r="H4" s="29">
        <f>AVERAGEIFS(Data!$K$2:$K$236,Data!$A$2:$A$236,$A4)</f>
        <v>55.52</v>
      </c>
      <c r="I4" s="29">
        <f>AVERAGEIFS(Data!$M$2:$M$236,Data!$A$2:$A$236,$A4)</f>
        <v>3.2</v>
      </c>
      <c r="J4" s="4">
        <f>COUNTIFS(Data!$A$2:$A$236,$A4,Data!$S$2:$S$236,"&gt;0")</f>
        <v>4</v>
      </c>
      <c r="K4" s="18">
        <f>E4/D4*1000</f>
        <v>7.42477530285268</v>
      </c>
      <c r="L4" s="4">
        <f>IF(J4&gt;=4,1,0)</f>
        <v>1</v>
      </c>
      <c r="M4" s="4">
        <f>RANK(E4,$E$2:$E$48,0)+COUNTIF($E$2:E4,E4)-1</f>
        <v>3</v>
      </c>
      <c r="N4" s="4" t="str">
        <f>INDEX(Priority_List!$M$5:$M$51,MATCH($A4,Priority_List!$A$5:$A$51,0))</f>
        <v>Tier 1: fix first</v>
      </c>
    </row>
    <row r="5">
      <c r="A5" s="4" t="inlineStr">
        <is>
          <t>auth_session</t>
        </is>
      </c>
      <c r="B5" s="4" t="inlineStr">
        <is>
          <t>Auth</t>
        </is>
      </c>
      <c r="C5" s="4" t="inlineStr">
        <is>
          <t>Python</t>
        </is>
      </c>
      <c r="D5" s="4" t="n">
        <v>3134</v>
      </c>
      <c r="E5" s="4">
        <f>SUMIFS(Data!$S$2:$S$236,Data!$A$2:$A$236,$A5)</f>
        <v>17</v>
      </c>
      <c r="F5" s="29">
        <f>AVERAGEIFS(Data!$H$2:$H$236,Data!$A$2:$A$236,$A5)</f>
        <v>20.78</v>
      </c>
      <c r="G5" s="29">
        <f>AVERAGEIFS(Data!$J$2:$J$236,Data!$A$2:$A$236,$A5)</f>
        <v>481.88</v>
      </c>
      <c r="H5" s="29">
        <f>AVERAGEIFS(Data!$K$2:$K$236,Data!$A$2:$A$236,$A5)</f>
        <v>36.74</v>
      </c>
      <c r="I5" s="29">
        <f>AVERAGEIFS(Data!$M$2:$M$236,Data!$A$2:$A$236,$A5)</f>
        <v>4.4</v>
      </c>
      <c r="J5" s="4">
        <f>COUNTIFS(Data!$A$2:$A$236,$A5,Data!$S$2:$S$236,"&gt;0")</f>
        <v>5</v>
      </c>
      <c r="K5" s="18">
        <f>E5/D5*1000</f>
        <v>5.42437779195916</v>
      </c>
      <c r="L5" s="4">
        <f>IF(J5&gt;=4,1,0)</f>
        <v>1</v>
      </c>
      <c r="M5" s="4">
        <f>RANK(E5,$E$2:$E$48,0)+COUNTIF($E$2:E5,E5)-1</f>
        <v>4</v>
      </c>
      <c r="N5" s="4" t="str">
        <f>INDEX(Priority_List!$M$5:$M$51,MATCH($A5,Priority_List!$A$5:$A$51,0))</f>
        <v>Tier 1: fix first</v>
      </c>
    </row>
    <row r="6">
      <c r="A6" s="4" t="inlineStr">
        <is>
          <t>payments_fraud</t>
        </is>
      </c>
      <c r="B6" s="4" t="inlineStr">
        <is>
          <t>Payments</t>
        </is>
      </c>
      <c r="C6" s="4" t="inlineStr">
        <is>
          <t>Java</t>
        </is>
      </c>
      <c r="D6" s="4" t="n">
        <v>1821</v>
      </c>
      <c r="E6" s="4">
        <f>SUMIFS(Data!$S$2:$S$236,Data!$A$2:$A$236,$A6)</f>
        <v>15</v>
      </c>
      <c r="F6" s="29">
        <f>AVERAGEIFS(Data!$H$2:$H$236,Data!$A$2:$A$236,$A6)</f>
        <v>19.558</v>
      </c>
      <c r="G6" s="29">
        <f>AVERAGEIFS(Data!$J$2:$J$236,Data!$A$2:$A$236,$A6)</f>
        <v>520.96</v>
      </c>
      <c r="H6" s="29">
        <f>AVERAGEIFS(Data!$K$2:$K$236,Data!$A$2:$A$236,$A6)</f>
        <v>37.76</v>
      </c>
      <c r="I6" s="29">
        <f>AVERAGEIFS(Data!$M$2:$M$236,Data!$A$2:$A$236,$A6)</f>
        <v>4</v>
      </c>
      <c r="J6" s="4">
        <f>COUNTIFS(Data!$A$2:$A$236,$A6,Data!$S$2:$S$236,"&gt;0")</f>
        <v>4</v>
      </c>
      <c r="K6" s="18">
        <f>E6/D6*1000</f>
        <v>8.23723228995058</v>
      </c>
      <c r="L6" s="4">
        <f>IF(J6&gt;=4,1,0)</f>
        <v>1</v>
      </c>
      <c r="M6" s="4">
        <f>RANK(E6,$E$2:$E$48,0)+COUNTIF($E$2:E6,E6)-1</f>
        <v>5</v>
      </c>
      <c r="N6" s="4" t="str">
        <f>INDEX(Priority_List!$M$5:$M$51,MATCH($A6,Priority_List!$A$5:$A$51,0))</f>
        <v>Tier 1: fix first</v>
      </c>
    </row>
    <row r="7">
      <c r="A7" s="4" t="inlineStr">
        <is>
          <t>reporting_audit_logs</t>
        </is>
      </c>
      <c r="B7" s="4" t="inlineStr">
        <is>
          <t>Reporting</t>
        </is>
      </c>
      <c r="C7" s="4" t="inlineStr">
        <is>
          <t>Java</t>
        </is>
      </c>
      <c r="D7" s="4" t="n">
        <v>3061</v>
      </c>
      <c r="E7" s="4">
        <f>SUMIFS(Data!$S$2:$S$236,Data!$A$2:$A$236,$A7)</f>
        <v>14</v>
      </c>
      <c r="F7" s="29">
        <f>AVERAGEIFS(Data!$H$2:$H$236,Data!$A$2:$A$236,$A7)</f>
        <v>22.64</v>
      </c>
      <c r="G7" s="29">
        <f>AVERAGEIFS(Data!$J$2:$J$236,Data!$A$2:$A$236,$A7)</f>
        <v>559.24</v>
      </c>
      <c r="H7" s="29">
        <f>AVERAGEIFS(Data!$K$2:$K$236,Data!$A$2:$A$236,$A7)</f>
        <v>63.26</v>
      </c>
      <c r="I7" s="29">
        <f>AVERAGEIFS(Data!$M$2:$M$236,Data!$A$2:$A$236,$A7)</f>
        <v>4.6</v>
      </c>
      <c r="J7" s="4">
        <f>COUNTIFS(Data!$A$2:$A$236,$A7,Data!$S$2:$S$236,"&gt;0")</f>
        <v>5</v>
      </c>
      <c r="K7" s="18">
        <f>E7/D7*1000</f>
        <v>4.57366873570729</v>
      </c>
      <c r="L7" s="4">
        <f>IF(J7&gt;=4,1,0)</f>
        <v>1</v>
      </c>
      <c r="M7" s="4">
        <f>RANK(E7,$E$2:$E$48,0)+COUNTIF($E$2:E7,E7)-1</f>
        <v>6</v>
      </c>
      <c r="N7" s="4" t="str">
        <f>INDEX(Priority_List!$M$5:$M$51,MATCH($A7,Priority_List!$A$5:$A$51,0))</f>
        <v>Tier 1: fix first</v>
      </c>
    </row>
    <row r="8">
      <c r="A8" s="4" t="inlineStr">
        <is>
          <t>reporting_scheduler</t>
        </is>
      </c>
      <c r="B8" s="4" t="inlineStr">
        <is>
          <t>Reporting</t>
        </is>
      </c>
      <c r="C8" s="4" t="inlineStr">
        <is>
          <t>Java</t>
        </is>
      </c>
      <c r="D8" s="4" t="n">
        <v>1361</v>
      </c>
      <c r="E8" s="4">
        <f>SUMIFS(Data!$S$2:$S$236,Data!$A$2:$A$236,$A8)</f>
        <v>13</v>
      </c>
      <c r="F8" s="29">
        <f>AVERAGEIFS(Data!$H$2:$H$236,Data!$A$2:$A$236,$A8)</f>
        <v>27.748</v>
      </c>
      <c r="G8" s="29">
        <f>AVERAGEIFS(Data!$J$2:$J$236,Data!$A$2:$A$236,$A8)</f>
        <v>262.51</v>
      </c>
      <c r="H8" s="29">
        <f>AVERAGEIFS(Data!$K$2:$K$236,Data!$A$2:$A$236,$A8)</f>
        <v>41.03</v>
      </c>
      <c r="I8" s="29">
        <f>AVERAGEIFS(Data!$M$2:$M$236,Data!$A$2:$A$236,$A8)</f>
        <v>4</v>
      </c>
      <c r="J8" s="4">
        <f>COUNTIFS(Data!$A$2:$A$236,$A8,Data!$S$2:$S$236,"&gt;0")</f>
        <v>5</v>
      </c>
      <c r="K8" s="18">
        <f>E8/D8*1000</f>
        <v>9.55180014695077</v>
      </c>
      <c r="L8" s="4">
        <f>IF(J8&gt;=4,1,0)</f>
        <v>1</v>
      </c>
      <c r="M8" s="4">
        <f>RANK(E8,$E$2:$E$48,0)+COUNTIF($E$2:E8,E8)-1</f>
        <v>7</v>
      </c>
      <c r="N8" s="4" t="str">
        <f>INDEX(Priority_List!$M$5:$M$51,MATCH($A8,Priority_List!$A$5:$A$51,0))</f>
        <v>Tier 1: fix first</v>
      </c>
    </row>
    <row r="9">
      <c r="A9" s="4" t="inlineStr">
        <is>
          <t>database_migration</t>
        </is>
      </c>
      <c r="B9" s="4" t="inlineStr">
        <is>
          <t>Database</t>
        </is>
      </c>
      <c r="C9" s="4" t="inlineStr">
        <is>
          <t>C++</t>
        </is>
      </c>
      <c r="D9" s="4" t="n">
        <v>2891</v>
      </c>
      <c r="E9" s="4">
        <f>SUMIFS(Data!$S$2:$S$236,Data!$A$2:$A$236,$A9)</f>
        <v>12</v>
      </c>
      <c r="F9" s="29">
        <f>AVERAGEIFS(Data!$H$2:$H$236,Data!$A$2:$A$236,$A9)</f>
        <v>18.592</v>
      </c>
      <c r="G9" s="29">
        <f>AVERAGEIFS(Data!$J$2:$J$236,Data!$A$2:$A$236,$A9)</f>
        <v>496.78</v>
      </c>
      <c r="H9" s="29">
        <f>AVERAGEIFS(Data!$K$2:$K$236,Data!$A$2:$A$236,$A9)</f>
        <v>56.08</v>
      </c>
      <c r="I9" s="29">
        <f>AVERAGEIFS(Data!$M$2:$M$236,Data!$A$2:$A$236,$A9)</f>
        <v>4.2</v>
      </c>
      <c r="J9" s="4">
        <f>COUNTIFS(Data!$A$2:$A$236,$A9,Data!$S$2:$S$236,"&gt;0")</f>
        <v>5</v>
      </c>
      <c r="K9" s="18">
        <f>E9/D9*1000</f>
        <v>4.15081286751989</v>
      </c>
      <c r="L9" s="4">
        <f>IF(J9&gt;=4,1,0)</f>
        <v>1</v>
      </c>
      <c r="M9" s="4">
        <f>RANK(E9,$E$2:$E$48,0)+COUNTIF($E$2:E9,E9)-1</f>
        <v>8</v>
      </c>
      <c r="N9" s="4" t="str">
        <f>INDEX(Priority_List!$M$5:$M$51,MATCH($A9,Priority_List!$A$5:$A$51,0))</f>
        <v>Tier 1: fix first</v>
      </c>
    </row>
    <row r="10">
      <c r="A10" s="4" t="inlineStr">
        <is>
          <t>payments_invoice</t>
        </is>
      </c>
      <c r="B10" s="4" t="inlineStr">
        <is>
          <t>Payments</t>
        </is>
      </c>
      <c r="C10" s="4" t="inlineStr">
        <is>
          <t>C++</t>
        </is>
      </c>
      <c r="D10" s="4" t="n">
        <v>2645</v>
      </c>
      <c r="E10" s="4">
        <f>SUMIFS(Data!$S$2:$S$236,Data!$A$2:$A$236,$A10)</f>
        <v>12</v>
      </c>
      <c r="F10" s="29">
        <f>AVERAGEIFS(Data!$H$2:$H$236,Data!$A$2:$A$236,$A10)</f>
        <v>22.168</v>
      </c>
      <c r="G10" s="29">
        <f>AVERAGEIFS(Data!$J$2:$J$236,Data!$A$2:$A$236,$A10)</f>
        <v>371.3</v>
      </c>
      <c r="H10" s="29">
        <f>AVERAGEIFS(Data!$K$2:$K$236,Data!$A$2:$A$236,$A10)</f>
        <v>61.28</v>
      </c>
      <c r="I10" s="29">
        <f>AVERAGEIFS(Data!$M$2:$M$236,Data!$A$2:$A$236,$A10)</f>
        <v>4.2</v>
      </c>
      <c r="J10" s="4">
        <f>COUNTIFS(Data!$A$2:$A$236,$A10,Data!$S$2:$S$236,"&gt;0")</f>
        <v>4</v>
      </c>
      <c r="K10" s="18">
        <f>E10/D10*1000</f>
        <v>4.53686200378072</v>
      </c>
      <c r="L10" s="4">
        <f>IF(J10&gt;=4,1,0)</f>
        <v>1</v>
      </c>
      <c r="M10" s="4">
        <f>RANK(E10,$E$2:$E$48,0)+COUNTIF($E$2:E10,E10)-1</f>
        <v>9</v>
      </c>
      <c r="N10" s="4" t="str">
        <f>INDEX(Priority_List!$M$5:$M$51,MATCH($A10,Priority_List!$A$5:$A$51,0))</f>
        <v>Tier 3: monitor</v>
      </c>
    </row>
    <row r="11">
      <c r="A11" s="4" t="inlineStr">
        <is>
          <t>database_replication</t>
        </is>
      </c>
      <c r="B11" s="4" t="inlineStr">
        <is>
          <t>Database</t>
        </is>
      </c>
      <c r="C11" s="4" t="inlineStr">
        <is>
          <t>C++</t>
        </is>
      </c>
      <c r="D11" s="4" t="n">
        <v>989</v>
      </c>
      <c r="E11" s="4">
        <f>SUMIFS(Data!$S$2:$S$236,Data!$A$2:$A$236,$A11)</f>
        <v>10</v>
      </c>
      <c r="F11" s="29">
        <f>AVERAGEIFS(Data!$H$2:$H$236,Data!$A$2:$A$236,$A11)</f>
        <v>19.548</v>
      </c>
      <c r="G11" s="29">
        <f>AVERAGEIFS(Data!$J$2:$J$236,Data!$A$2:$A$236,$A11)</f>
        <v>328.14</v>
      </c>
      <c r="H11" s="29">
        <f>AVERAGEIFS(Data!$K$2:$K$236,Data!$A$2:$A$236,$A11)</f>
        <v>65.82</v>
      </c>
      <c r="I11" s="29">
        <f>AVERAGEIFS(Data!$M$2:$M$236,Data!$A$2:$A$236,$A11)</f>
        <v>3</v>
      </c>
      <c r="J11" s="4">
        <f>COUNTIFS(Data!$A$2:$A$236,$A11,Data!$S$2:$S$236,"&gt;0")</f>
        <v>5</v>
      </c>
      <c r="K11" s="18">
        <f>E11/D11*1000</f>
        <v>10.1112234580384</v>
      </c>
      <c r="L11" s="4">
        <f>IF(J11&gt;=4,1,0)</f>
        <v>1</v>
      </c>
      <c r="M11" s="4">
        <f>RANK(E11,$E$2:$E$48,0)+COUNTIF($E$2:E11,E11)-1</f>
        <v>10</v>
      </c>
      <c r="N11" s="4" t="str">
        <f>INDEX(Priority_List!$M$5:$M$51,MATCH($A11,Priority_List!$A$5:$A$51,0))</f>
        <v>Tier 3: monitor</v>
      </c>
    </row>
    <row r="12">
      <c r="A12" s="4" t="inlineStr">
        <is>
          <t>payments_gateway</t>
        </is>
      </c>
      <c r="B12" s="4" t="inlineStr">
        <is>
          <t>Payments</t>
        </is>
      </c>
      <c r="C12" s="4" t="inlineStr">
        <is>
          <t>Java</t>
        </is>
      </c>
      <c r="D12" s="4" t="n">
        <v>1124</v>
      </c>
      <c r="E12" s="4">
        <f>SUMIFS(Data!$S$2:$S$236,Data!$A$2:$A$236,$A12)</f>
        <v>7</v>
      </c>
      <c r="F12" s="29">
        <f>AVERAGEIFS(Data!$H$2:$H$236,Data!$A$2:$A$236,$A12)</f>
        <v>26.348</v>
      </c>
      <c r="G12" s="29">
        <f>AVERAGEIFS(Data!$J$2:$J$236,Data!$A$2:$A$236,$A12)</f>
        <v>273.64</v>
      </c>
      <c r="H12" s="29">
        <f>AVERAGEIFS(Data!$K$2:$K$236,Data!$A$2:$A$236,$A12)</f>
        <v>59.06</v>
      </c>
      <c r="I12" s="29">
        <f>AVERAGEIFS(Data!$M$2:$M$236,Data!$A$2:$A$236,$A12)</f>
        <v>2.8</v>
      </c>
      <c r="J12" s="4">
        <f>COUNTIFS(Data!$A$2:$A$236,$A12,Data!$S$2:$S$236,"&gt;0")</f>
        <v>4</v>
      </c>
      <c r="K12" s="18">
        <f>E12/D12*1000</f>
        <v>6.22775800711744</v>
      </c>
      <c r="L12" s="4">
        <f>IF(J12&gt;=4,1,0)</f>
        <v>1</v>
      </c>
      <c r="M12" s="4">
        <f>RANK(E12,$E$2:$E$48,0)+COUNTIF($E$2:E12,E12)-1</f>
        <v>11</v>
      </c>
      <c r="N12" s="4" t="str">
        <f>INDEX(Priority_List!$M$5:$M$51,MATCH($A12,Priority_List!$A$5:$A$51,0))</f>
        <v>Tier 2: watch closely</v>
      </c>
    </row>
    <row r="13">
      <c r="A13" s="4" t="inlineStr">
        <is>
          <t>reporting_export</t>
        </is>
      </c>
      <c r="B13" s="4" t="inlineStr">
        <is>
          <t>Reporting</t>
        </is>
      </c>
      <c r="C13" s="4" t="inlineStr">
        <is>
          <t>Java</t>
        </is>
      </c>
      <c r="D13" s="4" t="n">
        <v>1649</v>
      </c>
      <c r="E13" s="4">
        <f>SUMIFS(Data!$S$2:$S$236,Data!$A$2:$A$236,$A13)</f>
        <v>7</v>
      </c>
      <c r="F13" s="29">
        <f>AVERAGEIFS(Data!$H$2:$H$236,Data!$A$2:$A$236,$A13)</f>
        <v>16.384</v>
      </c>
      <c r="G13" s="29">
        <f>AVERAGEIFS(Data!$J$2:$J$236,Data!$A$2:$A$236,$A13)</f>
        <v>279.64</v>
      </c>
      <c r="H13" s="29">
        <f>AVERAGEIFS(Data!$K$2:$K$236,Data!$A$2:$A$236,$A13)</f>
        <v>66.02</v>
      </c>
      <c r="I13" s="29">
        <f>AVERAGEIFS(Data!$M$2:$M$236,Data!$A$2:$A$236,$A13)</f>
        <v>3.4</v>
      </c>
      <c r="J13" s="4">
        <f>COUNTIFS(Data!$A$2:$A$236,$A13,Data!$S$2:$S$236,"&gt;0")</f>
        <v>4</v>
      </c>
      <c r="K13" s="18">
        <f>E13/D13*1000</f>
        <v>4.24499696785931</v>
      </c>
      <c r="L13" s="4">
        <f>IF(J13&gt;=4,1,0)</f>
        <v>1</v>
      </c>
      <c r="M13" s="4">
        <f>RANK(E13,$E$2:$E$48,0)+COUNTIF($E$2:E13,E13)-1</f>
        <v>12</v>
      </c>
      <c r="N13" s="4" t="str">
        <f>INDEX(Priority_List!$M$5:$M$51,MATCH($A13,Priority_List!$A$5:$A$51,0))</f>
        <v>Tier 1: fix first</v>
      </c>
    </row>
    <row r="14">
      <c r="A14" s="4" t="inlineStr">
        <is>
          <t>ui_search</t>
        </is>
      </c>
      <c r="B14" s="4" t="inlineStr">
        <is>
          <t>UI</t>
        </is>
      </c>
      <c r="C14" s="4" t="inlineStr">
        <is>
          <t>JavaScript</t>
        </is>
      </c>
      <c r="D14" s="4" t="n">
        <v>2587</v>
      </c>
      <c r="E14" s="4">
        <f>SUMIFS(Data!$S$2:$S$236,Data!$A$2:$A$236,$A14)</f>
        <v>6</v>
      </c>
      <c r="F14" s="29">
        <f>AVERAGEIFS(Data!$H$2:$H$236,Data!$A$2:$A$236,$A14)</f>
        <v>12.861</v>
      </c>
      <c r="G14" s="29">
        <f>AVERAGEIFS(Data!$J$2:$J$236,Data!$A$2:$A$236,$A14)</f>
        <v>397.4</v>
      </c>
      <c r="H14" s="29">
        <f>AVERAGEIFS(Data!$K$2:$K$236,Data!$A$2:$A$236,$A14)</f>
        <v>53.74</v>
      </c>
      <c r="I14" s="29">
        <f>AVERAGEIFS(Data!$M$2:$M$236,Data!$A$2:$A$236,$A14)</f>
        <v>4</v>
      </c>
      <c r="J14" s="4">
        <f>COUNTIFS(Data!$A$2:$A$236,$A14,Data!$S$2:$S$236,"&gt;0")</f>
        <v>2</v>
      </c>
      <c r="K14" s="18">
        <f>E14/D14*1000</f>
        <v>2.31928875144956</v>
      </c>
      <c r="L14" s="4">
        <f>IF(J14&gt;=4,1,0)</f>
        <v>0</v>
      </c>
      <c r="M14" s="4">
        <f>RANK(E14,$E$2:$E$48,0)+COUNTIF($E$2:E14,E14)-1</f>
        <v>13</v>
      </c>
      <c r="N14" s="4" t="str">
        <f>INDEX(Priority_List!$M$5:$M$51,MATCH($A14,Priority_List!$A$5:$A$51,0))</f>
        <v>Tier 3: monitor</v>
      </c>
    </row>
    <row r="15">
      <c r="A15" s="4" t="inlineStr">
        <is>
          <t>payments_checkout</t>
        </is>
      </c>
      <c r="B15" s="4" t="inlineStr">
        <is>
          <t>Payments</t>
        </is>
      </c>
      <c r="C15" s="4" t="inlineStr">
        <is>
          <t>C++</t>
        </is>
      </c>
      <c r="D15" s="4" t="n">
        <v>3929</v>
      </c>
      <c r="E15" s="4">
        <f>SUMIFS(Data!$S$2:$S$236,Data!$A$2:$A$236,$A15)</f>
        <v>6</v>
      </c>
      <c r="F15" s="29">
        <f>AVERAGEIFS(Data!$H$2:$H$236,Data!$A$2:$A$236,$A15)</f>
        <v>10.866</v>
      </c>
      <c r="G15" s="29">
        <f>AVERAGEIFS(Data!$J$2:$J$236,Data!$A$2:$A$236,$A15)</f>
        <v>240.38</v>
      </c>
      <c r="H15" s="29">
        <f>AVERAGEIFS(Data!$K$2:$K$236,Data!$A$2:$A$236,$A15)</f>
        <v>62.94</v>
      </c>
      <c r="I15" s="29">
        <f>AVERAGEIFS(Data!$M$2:$M$236,Data!$A$2:$A$236,$A15)</f>
        <v>2.8</v>
      </c>
      <c r="J15" s="4">
        <f>COUNTIFS(Data!$A$2:$A$236,$A15,Data!$S$2:$S$236,"&gt;0")</f>
        <v>2</v>
      </c>
      <c r="K15" s="18">
        <f>E15/D15*1000</f>
        <v>1.5271061338763</v>
      </c>
      <c r="L15" s="4">
        <f>IF(J15&gt;=4,1,0)</f>
        <v>0</v>
      </c>
      <c r="M15" s="4">
        <f>RANK(E15,$E$2:$E$48,0)+COUNTIF($E$2:E15,E15)-1</f>
        <v>14</v>
      </c>
      <c r="N15" s="4" t="str">
        <f>INDEX(Priority_List!$M$5:$M$51,MATCH($A15,Priority_List!$A$5:$A$51,0))</f>
        <v>Tier 2: watch closely</v>
      </c>
    </row>
    <row r="16">
      <c r="A16" s="4" t="inlineStr">
        <is>
          <t>api_validator</t>
        </is>
      </c>
      <c r="B16" s="4" t="inlineStr">
        <is>
          <t>API</t>
        </is>
      </c>
      <c r="C16" s="4" t="inlineStr">
        <is>
          <t>Java</t>
        </is>
      </c>
      <c r="D16" s="4" t="n">
        <v>3370</v>
      </c>
      <c r="E16" s="4">
        <f>SUMIFS(Data!$S$2:$S$236,Data!$A$2:$A$236,$A16)</f>
        <v>6</v>
      </c>
      <c r="F16" s="29">
        <f>AVERAGEIFS(Data!$H$2:$H$236,Data!$A$2:$A$236,$A16)</f>
        <v>5.882</v>
      </c>
      <c r="G16" s="29">
        <f>AVERAGEIFS(Data!$J$2:$J$236,Data!$A$2:$A$236,$A16)</f>
        <v>336.95</v>
      </c>
      <c r="H16" s="29">
        <f>AVERAGEIFS(Data!$K$2:$K$236,Data!$A$2:$A$236,$A16)</f>
        <v>74.44</v>
      </c>
      <c r="I16" s="29">
        <f>AVERAGEIFS(Data!$M$2:$M$236,Data!$A$2:$A$236,$A16)</f>
        <v>4</v>
      </c>
      <c r="J16" s="4">
        <f>COUNTIFS(Data!$A$2:$A$236,$A16,Data!$S$2:$S$236,"&gt;0")</f>
        <v>2</v>
      </c>
      <c r="K16" s="18">
        <f>E16/D16*1000</f>
        <v>1.78041543026706</v>
      </c>
      <c r="L16" s="4">
        <f>IF(J16&gt;=4,1,0)</f>
        <v>0</v>
      </c>
      <c r="M16" s="4">
        <f>RANK(E16,$E$2:$E$48,0)+COUNTIF($E$2:E16,E16)-1</f>
        <v>15</v>
      </c>
      <c r="N16" s="4" t="str">
        <f>INDEX(Priority_List!$M$5:$M$51,MATCH($A16,Priority_List!$A$5:$A$51,0))</f>
        <v>Tier 3: monitor</v>
      </c>
    </row>
    <row r="17">
      <c r="A17" s="4" t="inlineStr">
        <is>
          <t>database_orm</t>
        </is>
      </c>
      <c r="B17" s="4" t="inlineStr">
        <is>
          <t>Database</t>
        </is>
      </c>
      <c r="C17" s="4" t="inlineStr">
        <is>
          <t>C++</t>
        </is>
      </c>
      <c r="D17" s="4" t="n">
        <v>1226</v>
      </c>
      <c r="E17" s="4">
        <f>SUMIFS(Data!$S$2:$S$236,Data!$A$2:$A$236,$A17)</f>
        <v>6</v>
      </c>
      <c r="F17" s="29">
        <f>AVERAGEIFS(Data!$H$2:$H$236,Data!$A$2:$A$236,$A17)</f>
        <v>17.502</v>
      </c>
      <c r="G17" s="29">
        <f>AVERAGEIFS(Data!$J$2:$J$236,Data!$A$2:$A$236,$A17)</f>
        <v>307.4</v>
      </c>
      <c r="H17" s="29">
        <f>AVERAGEIFS(Data!$K$2:$K$236,Data!$A$2:$A$236,$A17)</f>
        <v>97.88</v>
      </c>
      <c r="I17" s="29">
        <f>AVERAGEIFS(Data!$M$2:$M$236,Data!$A$2:$A$236,$A17)</f>
        <v>3.2</v>
      </c>
      <c r="J17" s="4">
        <f>COUNTIFS(Data!$A$2:$A$236,$A17,Data!$S$2:$S$236,"&gt;0")</f>
        <v>4</v>
      </c>
      <c r="K17" s="18">
        <f>E17/D17*1000</f>
        <v>4.89396411092985</v>
      </c>
      <c r="L17" s="4">
        <f>IF(J17&gt;=4,1,0)</f>
        <v>1</v>
      </c>
      <c r="M17" s="4">
        <f>RANK(E17,$E$2:$E$48,0)+COUNTIF($E$2:E17,E17)-1</f>
        <v>16</v>
      </c>
      <c r="N17" s="4" t="str">
        <f>INDEX(Priority_List!$M$5:$M$51,MATCH($A17,Priority_List!$A$5:$A$51,0))</f>
        <v>Tier 3: monitor</v>
      </c>
    </row>
    <row r="18">
      <c r="A18" s="4" t="inlineStr">
        <is>
          <t>ui_charts</t>
        </is>
      </c>
      <c r="B18" s="4" t="inlineStr">
        <is>
          <t>UI</t>
        </is>
      </c>
      <c r="C18" s="4" t="inlineStr">
        <is>
          <t>JavaScript</t>
        </is>
      </c>
      <c r="D18" s="4" t="n">
        <v>2488</v>
      </c>
      <c r="E18" s="4">
        <f>SUMIFS(Data!$S$2:$S$236,Data!$A$2:$A$236,$A18)</f>
        <v>5</v>
      </c>
      <c r="F18" s="29">
        <f>AVERAGEIFS(Data!$H$2:$H$236,Data!$A$2:$A$236,$A18)</f>
        <v>11.535</v>
      </c>
      <c r="G18" s="29">
        <f>AVERAGEIFS(Data!$J$2:$J$236,Data!$A$2:$A$236,$A18)</f>
        <v>364.68</v>
      </c>
      <c r="H18" s="29">
        <f>AVERAGEIFS(Data!$K$2:$K$236,Data!$A$2:$A$236,$A18)</f>
        <v>59.43</v>
      </c>
      <c r="I18" s="29">
        <f>AVERAGEIFS(Data!$M$2:$M$236,Data!$A$2:$A$236,$A18)</f>
        <v>3.2</v>
      </c>
      <c r="J18" s="4">
        <f>COUNTIFS(Data!$A$2:$A$236,$A18,Data!$S$2:$S$236,"&gt;0")</f>
        <v>4</v>
      </c>
      <c r="K18" s="18">
        <f>E18/D18*1000</f>
        <v>2.0096463022508</v>
      </c>
      <c r="L18" s="4">
        <f>IF(J18&gt;=4,1,0)</f>
        <v>1</v>
      </c>
      <c r="M18" s="4">
        <f>RANK(E18,$E$2:$E$48,0)+COUNTIF($E$2:E18,E18)-1</f>
        <v>17</v>
      </c>
      <c r="N18" s="4" t="str">
        <f>INDEX(Priority_List!$M$5:$M$51,MATCH($A18,Priority_List!$A$5:$A$51,0))</f>
        <v>Tier 1: fix first</v>
      </c>
    </row>
    <row r="19">
      <c r="A19" s="4" t="inlineStr">
        <is>
          <t>auth_audit</t>
        </is>
      </c>
      <c r="B19" s="4" t="inlineStr">
        <is>
          <t>Auth</t>
        </is>
      </c>
      <c r="C19" s="4" t="inlineStr">
        <is>
          <t>Java</t>
        </is>
      </c>
      <c r="D19" s="4" t="n">
        <v>3186</v>
      </c>
      <c r="E19" s="4">
        <f>SUMIFS(Data!$S$2:$S$236,Data!$A$2:$A$236,$A19)</f>
        <v>5</v>
      </c>
      <c r="F19" s="29">
        <f>AVERAGEIFS(Data!$H$2:$H$236,Data!$A$2:$A$236,$A19)</f>
        <v>19.529</v>
      </c>
      <c r="G19" s="29">
        <f>AVERAGEIFS(Data!$J$2:$J$236,Data!$A$2:$A$236,$A19)</f>
        <v>304.82</v>
      </c>
      <c r="H19" s="29">
        <f>AVERAGEIFS(Data!$K$2:$K$236,Data!$A$2:$A$236,$A19)</f>
        <v>71.1</v>
      </c>
      <c r="I19" s="29">
        <f>AVERAGEIFS(Data!$M$2:$M$236,Data!$A$2:$A$236,$A19)</f>
        <v>3</v>
      </c>
      <c r="J19" s="4">
        <f>COUNTIFS(Data!$A$2:$A$236,$A19,Data!$S$2:$S$236,"&gt;0")</f>
        <v>2</v>
      </c>
      <c r="K19" s="18">
        <f>E19/D19*1000</f>
        <v>1.56936597614564</v>
      </c>
      <c r="L19" s="4">
        <f>IF(J19&gt;=4,1,0)</f>
        <v>0</v>
      </c>
      <c r="M19" s="4">
        <f>RANK(E19,$E$2:$E$48,0)+COUNTIF($E$2:E19,E19)-1</f>
        <v>18</v>
      </c>
      <c r="N19" s="4" t="str">
        <f>INDEX(Priority_List!$M$5:$M$51,MATCH($A19,Priority_List!$A$5:$A$51,0))</f>
        <v>Tier 3: monitor</v>
      </c>
    </row>
    <row r="20">
      <c r="A20" s="4" t="inlineStr">
        <is>
          <t>api_webhooks</t>
        </is>
      </c>
      <c r="B20" s="4" t="inlineStr">
        <is>
          <t>API</t>
        </is>
      </c>
      <c r="C20" s="4" t="inlineStr">
        <is>
          <t>Python</t>
        </is>
      </c>
      <c r="D20" s="4" t="n">
        <v>2285</v>
      </c>
      <c r="E20" s="4">
        <f>SUMIFS(Data!$S$2:$S$236,Data!$A$2:$A$236,$A20)</f>
        <v>5</v>
      </c>
      <c r="F20" s="29">
        <f>AVERAGEIFS(Data!$H$2:$H$236,Data!$A$2:$A$236,$A20)</f>
        <v>16.024</v>
      </c>
      <c r="G20" s="29">
        <f>AVERAGEIFS(Data!$J$2:$J$236,Data!$A$2:$A$236,$A20)</f>
        <v>123.72</v>
      </c>
      <c r="H20" s="29">
        <f>AVERAGEIFS(Data!$K$2:$K$236,Data!$A$2:$A$236,$A20)</f>
        <v>34.24</v>
      </c>
      <c r="I20" s="29">
        <f>AVERAGEIFS(Data!$M$2:$M$236,Data!$A$2:$A$236,$A20)</f>
        <v>1.6</v>
      </c>
      <c r="J20" s="4">
        <f>COUNTIFS(Data!$A$2:$A$236,$A20,Data!$S$2:$S$236,"&gt;0")</f>
        <v>4</v>
      </c>
      <c r="K20" s="18">
        <f>E20/D20*1000</f>
        <v>2.18818380743982</v>
      </c>
      <c r="L20" s="4">
        <f>IF(J20&gt;=4,1,0)</f>
        <v>1</v>
      </c>
      <c r="M20" s="4">
        <f>RANK(E20,$E$2:$E$48,0)+COUNTIF($E$2:E20,E20)-1</f>
        <v>19</v>
      </c>
      <c r="N20" s="4" t="str">
        <f>INDEX(Priority_List!$M$5:$M$51,MATCH($A20,Priority_List!$A$5:$A$51,0))</f>
        <v>Tier 1: fix first</v>
      </c>
    </row>
    <row r="21">
      <c r="A21" s="4" t="inlineStr">
        <is>
          <t>ui_profile</t>
        </is>
      </c>
      <c r="B21" s="4" t="inlineStr">
        <is>
          <t>UI</t>
        </is>
      </c>
      <c r="C21" s="4" t="inlineStr">
        <is>
          <t>JavaScript</t>
        </is>
      </c>
      <c r="D21" s="4" t="n">
        <v>1565</v>
      </c>
      <c r="E21" s="4">
        <f>SUMIFS(Data!$S$2:$S$236,Data!$A$2:$A$236,$A21)</f>
        <v>5</v>
      </c>
      <c r="F21" s="29">
        <f>AVERAGEIFS(Data!$H$2:$H$236,Data!$A$2:$A$236,$A21)</f>
        <v>13.144</v>
      </c>
      <c r="G21" s="29">
        <f>AVERAGEIFS(Data!$J$2:$J$236,Data!$A$2:$A$236,$A21)</f>
        <v>231.28</v>
      </c>
      <c r="H21" s="29">
        <f>AVERAGEIFS(Data!$K$2:$K$236,Data!$A$2:$A$236,$A21)</f>
        <v>52</v>
      </c>
      <c r="I21" s="29">
        <f>AVERAGEIFS(Data!$M$2:$M$236,Data!$A$2:$A$236,$A21)</f>
        <v>2.6</v>
      </c>
      <c r="J21" s="4">
        <f>COUNTIFS(Data!$A$2:$A$236,$A21,Data!$S$2:$S$236,"&gt;0")</f>
        <v>2</v>
      </c>
      <c r="K21" s="18">
        <f>E21/D21*1000</f>
        <v>3.19488817891374</v>
      </c>
      <c r="L21" s="4">
        <f>IF(J21&gt;=4,1,0)</f>
        <v>0</v>
      </c>
      <c r="M21" s="4">
        <f>RANK(E21,$E$2:$E$48,0)+COUNTIF($E$2:E21,E21)-1</f>
        <v>20</v>
      </c>
      <c r="N21" s="4" t="str">
        <f>INDEX(Priority_List!$M$5:$M$51,MATCH($A21,Priority_List!$A$5:$A$51,0))</f>
        <v>Tier 2: watch closely</v>
      </c>
    </row>
    <row r="22">
      <c r="A22" s="4" t="inlineStr">
        <is>
          <t>auth_token</t>
        </is>
      </c>
      <c r="B22" s="4" t="inlineStr">
        <is>
          <t>Auth</t>
        </is>
      </c>
      <c r="C22" s="4" t="inlineStr">
        <is>
          <t>Python</t>
        </is>
      </c>
      <c r="D22" s="4" t="n">
        <v>1652</v>
      </c>
      <c r="E22" s="4">
        <f>SUMIFS(Data!$S$2:$S$236,Data!$A$2:$A$236,$A22)</f>
        <v>5</v>
      </c>
      <c r="F22" s="29">
        <f>AVERAGEIFS(Data!$H$2:$H$236,Data!$A$2:$A$236,$A22)</f>
        <v>16.236</v>
      </c>
      <c r="G22" s="29">
        <f>AVERAGEIFS(Data!$J$2:$J$236,Data!$A$2:$A$236,$A22)</f>
        <v>407.86</v>
      </c>
      <c r="H22" s="29">
        <f>AVERAGEIFS(Data!$K$2:$K$236,Data!$A$2:$A$236,$A22)</f>
        <v>57.3</v>
      </c>
      <c r="I22" s="29">
        <f>AVERAGEIFS(Data!$M$2:$M$236,Data!$A$2:$A$236,$A22)</f>
        <v>3.6</v>
      </c>
      <c r="J22" s="4">
        <f>COUNTIFS(Data!$A$2:$A$236,$A22,Data!$S$2:$S$236,"&gt;0")</f>
        <v>3</v>
      </c>
      <c r="K22" s="18">
        <f>E22/D22*1000</f>
        <v>3.02663438256659</v>
      </c>
      <c r="L22" s="4">
        <f>IF(J22&gt;=4,1,0)</f>
        <v>0</v>
      </c>
      <c r="M22" s="4">
        <f>RANK(E22,$E$2:$E$48,0)+COUNTIF($E$2:E22,E22)-1</f>
        <v>21</v>
      </c>
      <c r="N22" s="4" t="str">
        <f>INDEX(Priority_List!$M$5:$M$51,MATCH($A22,Priority_List!$A$5:$A$51,0))</f>
        <v>Tier 2: watch closely</v>
      </c>
    </row>
    <row r="23">
      <c r="A23" s="4" t="inlineStr">
        <is>
          <t>payments_wallet</t>
        </is>
      </c>
      <c r="B23" s="4" t="inlineStr">
        <is>
          <t>Payments</t>
        </is>
      </c>
      <c r="C23" s="4" t="inlineStr">
        <is>
          <t>C++</t>
        </is>
      </c>
      <c r="D23" s="4" t="n">
        <v>1939</v>
      </c>
      <c r="E23" s="4">
        <f>SUMIFS(Data!$S$2:$S$236,Data!$A$2:$A$236,$A23)</f>
        <v>5</v>
      </c>
      <c r="F23" s="29">
        <f>AVERAGEIFS(Data!$H$2:$H$236,Data!$A$2:$A$236,$A23)</f>
        <v>24.896</v>
      </c>
      <c r="G23" s="29">
        <f>AVERAGEIFS(Data!$J$2:$J$236,Data!$A$2:$A$236,$A23)</f>
        <v>569.87</v>
      </c>
      <c r="H23" s="29">
        <f>AVERAGEIFS(Data!$K$2:$K$236,Data!$A$2:$A$236,$A23)</f>
        <v>43.5</v>
      </c>
      <c r="I23" s="29">
        <f>AVERAGEIFS(Data!$M$2:$M$236,Data!$A$2:$A$236,$A23)</f>
        <v>4.4</v>
      </c>
      <c r="J23" s="4">
        <f>COUNTIFS(Data!$A$2:$A$236,$A23,Data!$S$2:$S$236,"&gt;0")</f>
        <v>3</v>
      </c>
      <c r="K23" s="18">
        <f>E23/D23*1000</f>
        <v>2.57864878803507</v>
      </c>
      <c r="L23" s="4">
        <f>IF(J23&gt;=4,1,0)</f>
        <v>0</v>
      </c>
      <c r="M23" s="4">
        <f>RANK(E23,$E$2:$E$48,0)+COUNTIF($E$2:E23,E23)-1</f>
        <v>22</v>
      </c>
      <c r="N23" s="4" t="str">
        <f>INDEX(Priority_List!$M$5:$M$51,MATCH($A23,Priority_List!$A$5:$A$51,0))</f>
        <v>Tier 2: watch closely</v>
      </c>
    </row>
    <row r="24">
      <c r="A24" s="4" t="inlineStr">
        <is>
          <t>reporting_templates</t>
        </is>
      </c>
      <c r="B24" s="4" t="inlineStr">
        <is>
          <t>Reporting</t>
        </is>
      </c>
      <c r="C24" s="4" t="inlineStr">
        <is>
          <t>Java</t>
        </is>
      </c>
      <c r="D24" s="4" t="n">
        <v>2203</v>
      </c>
      <c r="E24" s="4">
        <f>SUMIFS(Data!$S$2:$S$236,Data!$A$2:$A$236,$A24)</f>
        <v>4</v>
      </c>
      <c r="F24" s="29">
        <f>AVERAGEIFS(Data!$H$2:$H$236,Data!$A$2:$A$236,$A24)</f>
        <v>10.5</v>
      </c>
      <c r="G24" s="29">
        <f>AVERAGEIFS(Data!$J$2:$J$236,Data!$A$2:$A$236,$A24)</f>
        <v>290.68</v>
      </c>
      <c r="H24" s="29">
        <f>AVERAGEIFS(Data!$K$2:$K$236,Data!$A$2:$A$236,$A24)</f>
        <v>71.78</v>
      </c>
      <c r="I24" s="29">
        <f>AVERAGEIFS(Data!$M$2:$M$236,Data!$A$2:$A$236,$A24)</f>
        <v>3.4</v>
      </c>
      <c r="J24" s="4">
        <f>COUNTIFS(Data!$A$2:$A$236,$A24,Data!$S$2:$S$236,"&gt;0")</f>
        <v>3</v>
      </c>
      <c r="K24" s="18">
        <f>E24/D24*1000</f>
        <v>1.81570585565138</v>
      </c>
      <c r="L24" s="4">
        <f>IF(J24&gt;=4,1,0)</f>
        <v>0</v>
      </c>
      <c r="M24" s="4">
        <f>RANK(E24,$E$2:$E$48,0)+COUNTIF($E$2:E24,E24)-1</f>
        <v>23</v>
      </c>
      <c r="N24" s="4" t="str">
        <f>INDEX(Priority_List!$M$5:$M$51,MATCH($A24,Priority_List!$A$5:$A$51,0))</f>
        <v>Tier 3: monitor</v>
      </c>
    </row>
    <row r="25">
      <c r="A25" s="4" t="inlineStr">
        <is>
          <t>api_docs</t>
        </is>
      </c>
      <c r="B25" s="4" t="inlineStr">
        <is>
          <t>API</t>
        </is>
      </c>
      <c r="C25" s="4" t="inlineStr">
        <is>
          <t>Python</t>
        </is>
      </c>
      <c r="D25" s="4" t="n">
        <v>2376</v>
      </c>
      <c r="E25" s="4">
        <f>SUMIFS(Data!$S$2:$S$236,Data!$A$2:$A$236,$A25)</f>
        <v>4</v>
      </c>
      <c r="F25" s="29">
        <f>AVERAGEIFS(Data!$H$2:$H$236,Data!$A$2:$A$236,$A25)</f>
        <v>14.151</v>
      </c>
      <c r="G25" s="29">
        <f>AVERAGEIFS(Data!$J$2:$J$236,Data!$A$2:$A$236,$A25)</f>
        <v>409.18</v>
      </c>
      <c r="H25" s="29">
        <f>AVERAGEIFS(Data!$K$2:$K$236,Data!$A$2:$A$236,$A25)</f>
        <v>89.94</v>
      </c>
      <c r="I25" s="29">
        <f>AVERAGEIFS(Data!$M$2:$M$236,Data!$A$2:$A$236,$A25)</f>
        <v>4.2</v>
      </c>
      <c r="J25" s="4">
        <f>COUNTIFS(Data!$A$2:$A$236,$A25,Data!$S$2:$S$236,"&gt;0")</f>
        <v>1</v>
      </c>
      <c r="K25" s="18">
        <f>E25/D25*1000</f>
        <v>1.68350168350168</v>
      </c>
      <c r="L25" s="4">
        <f>IF(J25&gt;=4,1,0)</f>
        <v>0</v>
      </c>
      <c r="M25" s="4">
        <f>RANK(E25,$E$2:$E$48,0)+COUNTIF($E$2:E25,E25)-1</f>
        <v>24</v>
      </c>
      <c r="N25" s="4" t="str">
        <f>INDEX(Priority_List!$M$5:$M$51,MATCH($A25,Priority_List!$A$5:$A$51,0))</f>
        <v>Tier 2: watch closely</v>
      </c>
    </row>
    <row r="26">
      <c r="A26" s="4" t="inlineStr">
        <is>
          <t>api_versioning</t>
        </is>
      </c>
      <c r="B26" s="4" t="inlineStr">
        <is>
          <t>API</t>
        </is>
      </c>
      <c r="C26" s="4" t="inlineStr">
        <is>
          <t>Java</t>
        </is>
      </c>
      <c r="D26" s="4" t="n">
        <v>833</v>
      </c>
      <c r="E26" s="4">
        <f>SUMIFS(Data!$S$2:$S$236,Data!$A$2:$A$236,$A26)</f>
        <v>4</v>
      </c>
      <c r="F26" s="29">
        <f>AVERAGEIFS(Data!$H$2:$H$236,Data!$A$2:$A$236,$A26)</f>
        <v>15.812</v>
      </c>
      <c r="G26" s="29">
        <f>AVERAGEIFS(Data!$J$2:$J$236,Data!$A$2:$A$236,$A26)</f>
        <v>394.28</v>
      </c>
      <c r="H26" s="29">
        <f>AVERAGEIFS(Data!$K$2:$K$236,Data!$A$2:$A$236,$A26)</f>
        <v>57.78</v>
      </c>
      <c r="I26" s="29">
        <f>AVERAGEIFS(Data!$M$2:$M$236,Data!$A$2:$A$236,$A26)</f>
        <v>3.8</v>
      </c>
      <c r="J26" s="4">
        <f>COUNTIFS(Data!$A$2:$A$236,$A26,Data!$S$2:$S$236,"&gt;0")</f>
        <v>3</v>
      </c>
      <c r="K26" s="18">
        <f>E26/D26*1000</f>
        <v>4.80192076830732</v>
      </c>
      <c r="L26" s="4">
        <f>IF(J26&gt;=4,1,0)</f>
        <v>0</v>
      </c>
      <c r="M26" s="4">
        <f>RANK(E26,$E$2:$E$48,0)+COUNTIF($E$2:E26,E26)-1</f>
        <v>25</v>
      </c>
      <c r="N26" s="4" t="str">
        <f>INDEX(Priority_List!$M$5:$M$51,MATCH($A26,Priority_List!$A$5:$A$51,0))</f>
        <v>Tier 2: watch closely</v>
      </c>
    </row>
    <row r="27">
      <c r="A27" s="4" t="inlineStr">
        <is>
          <t>payments_subscription</t>
        </is>
      </c>
      <c r="B27" s="4" t="inlineStr">
        <is>
          <t>Payments</t>
        </is>
      </c>
      <c r="C27" s="4" t="inlineStr">
        <is>
          <t>C++</t>
        </is>
      </c>
      <c r="D27" s="4" t="n">
        <v>4161</v>
      </c>
      <c r="E27" s="4">
        <f>SUMIFS(Data!$S$2:$S$236,Data!$A$2:$A$236,$A27)</f>
        <v>4</v>
      </c>
      <c r="F27" s="29">
        <f>AVERAGEIFS(Data!$H$2:$H$236,Data!$A$2:$A$236,$A27)</f>
        <v>12.962</v>
      </c>
      <c r="G27" s="29">
        <f>AVERAGEIFS(Data!$J$2:$J$236,Data!$A$2:$A$236,$A27)</f>
        <v>231.75</v>
      </c>
      <c r="H27" s="29">
        <f>AVERAGEIFS(Data!$K$2:$K$236,Data!$A$2:$A$236,$A27)</f>
        <v>71.56</v>
      </c>
      <c r="I27" s="29">
        <f>AVERAGEIFS(Data!$M$2:$M$236,Data!$A$2:$A$236,$A27)</f>
        <v>2.8</v>
      </c>
      <c r="J27" s="4">
        <f>COUNTIFS(Data!$A$2:$A$236,$A27,Data!$S$2:$S$236,"&gt;0")</f>
        <v>3</v>
      </c>
      <c r="K27" s="18">
        <f>E27/D27*1000</f>
        <v>0.961307378034126</v>
      </c>
      <c r="L27" s="4">
        <f>IF(J27&gt;=4,1,0)</f>
        <v>0</v>
      </c>
      <c r="M27" s="4">
        <f>RANK(E27,$E$2:$E$48,0)+COUNTIF($E$2:E27,E27)-1</f>
        <v>26</v>
      </c>
      <c r="N27" s="4" t="str">
        <f>INDEX(Priority_List!$M$5:$M$51,MATCH($A27,Priority_List!$A$5:$A$51,0))</f>
        <v>Tier 3: monitor</v>
      </c>
    </row>
    <row r="28">
      <c r="A28" s="4" t="inlineStr">
        <is>
          <t>ui_forms</t>
        </is>
      </c>
      <c r="B28" s="4" t="inlineStr">
        <is>
          <t>UI</t>
        </is>
      </c>
      <c r="C28" s="4" t="inlineStr">
        <is>
          <t>JavaScript</t>
        </is>
      </c>
      <c r="D28" s="4" t="n">
        <v>1617</v>
      </c>
      <c r="E28" s="4">
        <f>SUMIFS(Data!$S$2:$S$236,Data!$A$2:$A$236,$A28)</f>
        <v>4</v>
      </c>
      <c r="F28" s="29">
        <f>AVERAGEIFS(Data!$H$2:$H$236,Data!$A$2:$A$236,$A28)</f>
        <v>15.404</v>
      </c>
      <c r="G28" s="29">
        <f>AVERAGEIFS(Data!$J$2:$J$236,Data!$A$2:$A$236,$A28)</f>
        <v>378.34</v>
      </c>
      <c r="H28" s="29">
        <f>AVERAGEIFS(Data!$K$2:$K$236,Data!$A$2:$A$236,$A28)</f>
        <v>63.46</v>
      </c>
      <c r="I28" s="29">
        <f>AVERAGEIFS(Data!$M$2:$M$236,Data!$A$2:$A$236,$A28)</f>
        <v>4.4</v>
      </c>
      <c r="J28" s="4">
        <f>COUNTIFS(Data!$A$2:$A$236,$A28,Data!$S$2:$S$236,"&gt;0")</f>
        <v>4</v>
      </c>
      <c r="K28" s="18">
        <f>E28/D28*1000</f>
        <v>2.47371675943105</v>
      </c>
      <c r="L28" s="4">
        <f>IF(J28&gt;=4,1,0)</f>
        <v>1</v>
      </c>
      <c r="M28" s="4">
        <f>RANK(E28,$E$2:$E$48,0)+COUNTIF($E$2:E28,E28)-1</f>
        <v>27</v>
      </c>
      <c r="N28" s="4" t="str">
        <f>INDEX(Priority_List!$M$5:$M$51,MATCH($A28,Priority_List!$A$5:$A$51,0))</f>
        <v>Tier 3: monitor</v>
      </c>
    </row>
    <row r="29">
      <c r="A29" s="4" t="inlineStr">
        <is>
          <t>database_backup</t>
        </is>
      </c>
      <c r="B29" s="4" t="inlineStr">
        <is>
          <t>Database</t>
        </is>
      </c>
      <c r="C29" s="4" t="inlineStr">
        <is>
          <t>C++</t>
        </is>
      </c>
      <c r="D29" s="4" t="n">
        <v>1207</v>
      </c>
      <c r="E29" s="4">
        <f>SUMIFS(Data!$S$2:$S$236,Data!$A$2:$A$236,$A29)</f>
        <v>4</v>
      </c>
      <c r="F29" s="29">
        <f>AVERAGEIFS(Data!$H$2:$H$236,Data!$A$2:$A$236,$A29)</f>
        <v>12.529</v>
      </c>
      <c r="G29" s="29">
        <f>AVERAGEIFS(Data!$J$2:$J$236,Data!$A$2:$A$236,$A29)</f>
        <v>229.18</v>
      </c>
      <c r="H29" s="29">
        <f>AVERAGEIFS(Data!$K$2:$K$236,Data!$A$2:$A$236,$A29)</f>
        <v>56.38</v>
      </c>
      <c r="I29" s="29">
        <f>AVERAGEIFS(Data!$M$2:$M$236,Data!$A$2:$A$236,$A29)</f>
        <v>2.4</v>
      </c>
      <c r="J29" s="4">
        <f>COUNTIFS(Data!$A$2:$A$236,$A29,Data!$S$2:$S$236,"&gt;0")</f>
        <v>2</v>
      </c>
      <c r="K29" s="18">
        <f>E29/D29*1000</f>
        <v>3.31400165700083</v>
      </c>
      <c r="L29" s="4">
        <f>IF(J29&gt;=4,1,0)</f>
        <v>0</v>
      </c>
      <c r="M29" s="4">
        <f>RANK(E29,$E$2:$E$48,0)+COUNTIF($E$2:E29,E29)-1</f>
        <v>28</v>
      </c>
      <c r="N29" s="4" t="str">
        <f>INDEX(Priority_List!$M$5:$M$51,MATCH($A29,Priority_List!$A$5:$A$51,0))</f>
        <v>Tier 2: watch closely</v>
      </c>
    </row>
    <row r="30">
      <c r="A30" s="4" t="inlineStr">
        <is>
          <t>payments_refund</t>
        </is>
      </c>
      <c r="B30" s="4" t="inlineStr">
        <is>
          <t>Payments</t>
        </is>
      </c>
      <c r="C30" s="4" t="inlineStr">
        <is>
          <t>Java</t>
        </is>
      </c>
      <c r="D30" s="4" t="n">
        <v>2493</v>
      </c>
      <c r="E30" s="4">
        <f>SUMIFS(Data!$S$2:$S$236,Data!$A$2:$A$236,$A30)</f>
        <v>3</v>
      </c>
      <c r="F30" s="29">
        <f>AVERAGEIFS(Data!$H$2:$H$236,Data!$A$2:$A$236,$A30)</f>
        <v>8.9</v>
      </c>
      <c r="G30" s="29">
        <f>AVERAGEIFS(Data!$J$2:$J$236,Data!$A$2:$A$236,$A30)</f>
        <v>228.72</v>
      </c>
      <c r="H30" s="29">
        <f>AVERAGEIFS(Data!$K$2:$K$236,Data!$A$2:$A$236,$A30)</f>
        <v>79.25</v>
      </c>
      <c r="I30" s="29">
        <f>AVERAGEIFS(Data!$M$2:$M$236,Data!$A$2:$A$236,$A30)</f>
        <v>2.6</v>
      </c>
      <c r="J30" s="4">
        <f>COUNTIFS(Data!$A$2:$A$236,$A30,Data!$S$2:$S$236,"&gt;0")</f>
        <v>3</v>
      </c>
      <c r="K30" s="18">
        <f>E30/D30*1000</f>
        <v>1.20336943441637</v>
      </c>
      <c r="L30" s="4">
        <f>IF(J30&gt;=4,1,0)</f>
        <v>0</v>
      </c>
      <c r="M30" s="4">
        <f>RANK(E30,$E$2:$E$48,0)+COUNTIF($E$2:E30,E30)-1</f>
        <v>29</v>
      </c>
      <c r="N30" s="4" t="str">
        <f>INDEX(Priority_List!$M$5:$M$51,MATCH($A30,Priority_List!$A$5:$A$51,0))</f>
        <v>Tier 3: monitor</v>
      </c>
    </row>
    <row r="31">
      <c r="A31" s="4" t="inlineStr">
        <is>
          <t>ui_navbar</t>
        </is>
      </c>
      <c r="B31" s="4" t="inlineStr">
        <is>
          <t>UI</t>
        </is>
      </c>
      <c r="C31" s="4" t="inlineStr">
        <is>
          <t>JavaScript</t>
        </is>
      </c>
      <c r="D31" s="4" t="n">
        <v>2750</v>
      </c>
      <c r="E31" s="4">
        <f>SUMIFS(Data!$S$2:$S$236,Data!$A$2:$A$236,$A31)</f>
        <v>3</v>
      </c>
      <c r="F31" s="29">
        <f>AVERAGEIFS(Data!$H$2:$H$236,Data!$A$2:$A$236,$A31)</f>
        <v>19.2</v>
      </c>
      <c r="G31" s="29">
        <f>AVERAGEIFS(Data!$J$2:$J$236,Data!$A$2:$A$236,$A31)</f>
        <v>237.46</v>
      </c>
      <c r="H31" s="29">
        <f>AVERAGEIFS(Data!$K$2:$K$236,Data!$A$2:$A$236,$A31)</f>
        <v>68.64</v>
      </c>
      <c r="I31" s="29">
        <f>AVERAGEIFS(Data!$M$2:$M$236,Data!$A$2:$A$236,$A31)</f>
        <v>2.8</v>
      </c>
      <c r="J31" s="4">
        <f>COUNTIFS(Data!$A$2:$A$236,$A31,Data!$S$2:$S$236,"&gt;0")</f>
        <v>2</v>
      </c>
      <c r="K31" s="18">
        <f>E31/D31*1000</f>
        <v>1.09090909090909</v>
      </c>
      <c r="L31" s="4">
        <f>IF(J31&gt;=4,1,0)</f>
        <v>0</v>
      </c>
      <c r="M31" s="4">
        <f>RANK(E31,$E$2:$E$48,0)+COUNTIF($E$2:E31,E31)-1</f>
        <v>30</v>
      </c>
      <c r="N31" s="4" t="str">
        <f>INDEX(Priority_List!$M$5:$M$51,MATCH($A31,Priority_List!$A$5:$A$51,0))</f>
        <v>Tier 3: monitor</v>
      </c>
    </row>
    <row r="32">
      <c r="A32" s="4" t="inlineStr">
        <is>
          <t>payments_tax</t>
        </is>
      </c>
      <c r="B32" s="4" t="inlineStr">
        <is>
          <t>Payments</t>
        </is>
      </c>
      <c r="C32" s="4" t="inlineStr">
        <is>
          <t>C++</t>
        </is>
      </c>
      <c r="D32" s="4" t="n">
        <v>1788</v>
      </c>
      <c r="E32" s="4">
        <f>SUMIFS(Data!$S$2:$S$236,Data!$A$2:$A$236,$A32)</f>
        <v>3</v>
      </c>
      <c r="F32" s="29">
        <f>AVERAGEIFS(Data!$H$2:$H$236,Data!$A$2:$A$236,$A32)</f>
        <v>14.8</v>
      </c>
      <c r="G32" s="29">
        <f>AVERAGEIFS(Data!$J$2:$J$236,Data!$A$2:$A$236,$A32)</f>
        <v>233.12</v>
      </c>
      <c r="H32" s="29">
        <f>AVERAGEIFS(Data!$K$2:$K$236,Data!$A$2:$A$236,$A32)</f>
        <v>73.62</v>
      </c>
      <c r="I32" s="29">
        <f>AVERAGEIFS(Data!$M$2:$M$236,Data!$A$2:$A$236,$A32)</f>
        <v>2.6</v>
      </c>
      <c r="J32" s="4">
        <f>COUNTIFS(Data!$A$2:$A$236,$A32,Data!$S$2:$S$236,"&gt;0")</f>
        <v>2</v>
      </c>
      <c r="K32" s="18">
        <f>E32/D32*1000</f>
        <v>1.67785234899329</v>
      </c>
      <c r="L32" s="4">
        <f>IF(J32&gt;=4,1,0)</f>
        <v>0</v>
      </c>
      <c r="M32" s="4">
        <f>RANK(E32,$E$2:$E$48,0)+COUNTIF($E$2:E32,E32)-1</f>
        <v>31</v>
      </c>
      <c r="N32" s="4" t="str">
        <f>INDEX(Priority_List!$M$5:$M$51,MATCH($A32,Priority_List!$A$5:$A$51,0))</f>
        <v>Tier 3: monitor</v>
      </c>
    </row>
    <row r="33">
      <c r="A33" s="4" t="inlineStr">
        <is>
          <t>ui_dashboard</t>
        </is>
      </c>
      <c r="B33" s="4" t="inlineStr">
        <is>
          <t>UI</t>
        </is>
      </c>
      <c r="C33" s="4" t="inlineStr">
        <is>
          <t>JavaScript</t>
        </is>
      </c>
      <c r="D33" s="4" t="n">
        <v>1545</v>
      </c>
      <c r="E33" s="4">
        <f>SUMIFS(Data!$S$2:$S$236,Data!$A$2:$A$236,$A33)</f>
        <v>3</v>
      </c>
      <c r="F33" s="29">
        <f>AVERAGEIFS(Data!$H$2:$H$236,Data!$A$2:$A$236,$A33)</f>
        <v>19.789</v>
      </c>
      <c r="G33" s="29">
        <f>AVERAGEIFS(Data!$J$2:$J$236,Data!$A$2:$A$236,$A33)</f>
        <v>171.94</v>
      </c>
      <c r="H33" s="29">
        <f>AVERAGEIFS(Data!$K$2:$K$236,Data!$A$2:$A$236,$A33)</f>
        <v>58.55</v>
      </c>
      <c r="I33" s="29">
        <f>AVERAGEIFS(Data!$M$2:$M$236,Data!$A$2:$A$236,$A33)</f>
        <v>1.8</v>
      </c>
      <c r="J33" s="4">
        <f>COUNTIFS(Data!$A$2:$A$236,$A33,Data!$S$2:$S$236,"&gt;0")</f>
        <v>1</v>
      </c>
      <c r="K33" s="18">
        <f>E33/D33*1000</f>
        <v>1.94174757281553</v>
      </c>
      <c r="L33" s="4">
        <f>IF(J33&gt;=4,1,0)</f>
        <v>0</v>
      </c>
      <c r="M33" s="4">
        <f>RANK(E33,$E$2:$E$48,0)+COUNTIF($E$2:E33,E33)-1</f>
        <v>32</v>
      </c>
      <c r="N33" s="4" t="str">
        <f>INDEX(Priority_List!$M$5:$M$51,MATCH($A33,Priority_List!$A$5:$A$51,0))</f>
        <v>Tier 3: monitor</v>
      </c>
    </row>
    <row r="34">
      <c r="A34" s="4" t="inlineStr">
        <is>
          <t>reporting_pdfgen</t>
        </is>
      </c>
      <c r="B34" s="4" t="inlineStr">
        <is>
          <t>Reporting</t>
        </is>
      </c>
      <c r="C34" s="4" t="inlineStr">
        <is>
          <t>Python</t>
        </is>
      </c>
      <c r="D34" s="4" t="n">
        <v>1188</v>
      </c>
      <c r="E34" s="4">
        <f>SUMIFS(Data!$S$2:$S$236,Data!$A$2:$A$236,$A34)</f>
        <v>2</v>
      </c>
      <c r="F34" s="29">
        <f>AVERAGEIFS(Data!$H$2:$H$236,Data!$A$2:$A$236,$A34)</f>
        <v>3.348</v>
      </c>
      <c r="G34" s="29">
        <f>AVERAGEIFS(Data!$J$2:$J$236,Data!$A$2:$A$236,$A34)</f>
        <v>310.67</v>
      </c>
      <c r="H34" s="29">
        <f>AVERAGEIFS(Data!$K$2:$K$236,Data!$A$2:$A$236,$A34)</f>
        <v>51.6</v>
      </c>
      <c r="I34" s="29">
        <f>AVERAGEIFS(Data!$M$2:$M$236,Data!$A$2:$A$236,$A34)</f>
        <v>2.8</v>
      </c>
      <c r="J34" s="4">
        <f>COUNTIFS(Data!$A$2:$A$236,$A34,Data!$S$2:$S$236,"&gt;0")</f>
        <v>2</v>
      </c>
      <c r="K34" s="18">
        <f>E34/D34*1000</f>
        <v>1.68350168350168</v>
      </c>
      <c r="L34" s="4">
        <f>IF(J34&gt;=4,1,0)</f>
        <v>0</v>
      </c>
      <c r="M34" s="4">
        <f>RANK(E34,$E$2:$E$48,0)+COUNTIF($E$2:E34,E34)-1</f>
        <v>33</v>
      </c>
      <c r="N34" s="4" t="str">
        <f>INDEX(Priority_List!$M$5:$M$51,MATCH($A34,Priority_List!$A$5:$A$51,0))</f>
        <v>Tier 2: watch closely</v>
      </c>
    </row>
    <row r="35">
      <c r="A35" s="4" t="inlineStr">
        <is>
          <t>database_cache</t>
        </is>
      </c>
      <c r="B35" s="4" t="inlineStr">
        <is>
          <t>Database</t>
        </is>
      </c>
      <c r="C35" s="4" t="inlineStr">
        <is>
          <t>Python</t>
        </is>
      </c>
      <c r="D35" s="4" t="n">
        <v>1866</v>
      </c>
      <c r="E35" s="4">
        <f>SUMIFS(Data!$S$2:$S$236,Data!$A$2:$A$236,$A35)</f>
        <v>2</v>
      </c>
      <c r="F35" s="29">
        <f>AVERAGEIFS(Data!$H$2:$H$236,Data!$A$2:$A$236,$A35)</f>
        <v>16.548</v>
      </c>
      <c r="G35" s="29">
        <f>AVERAGEIFS(Data!$J$2:$J$236,Data!$A$2:$A$236,$A35)</f>
        <v>244.54</v>
      </c>
      <c r="H35" s="29">
        <f>AVERAGEIFS(Data!$K$2:$K$236,Data!$A$2:$A$236,$A35)</f>
        <v>67</v>
      </c>
      <c r="I35" s="29">
        <f>AVERAGEIFS(Data!$M$2:$M$236,Data!$A$2:$A$236,$A35)</f>
        <v>3.2</v>
      </c>
      <c r="J35" s="4">
        <f>COUNTIFS(Data!$A$2:$A$236,$A35,Data!$S$2:$S$236,"&gt;0")</f>
        <v>2</v>
      </c>
      <c r="K35" s="18">
        <f>E35/D35*1000</f>
        <v>1.07181136120043</v>
      </c>
      <c r="L35" s="4">
        <f>IF(J35&gt;=4,1,0)</f>
        <v>0</v>
      </c>
      <c r="M35" s="4">
        <f>RANK(E35,$E$2:$E$48,0)+COUNTIF($E$2:E35,E35)-1</f>
        <v>34</v>
      </c>
      <c r="N35" s="4" t="str">
        <f>INDEX(Priority_List!$M$5:$M$51,MATCH($A35,Priority_List!$A$5:$A$51,0))</f>
        <v>Tier 3: monitor</v>
      </c>
    </row>
    <row r="36">
      <c r="A36" s="4" t="inlineStr">
        <is>
          <t>reporting_analytics</t>
        </is>
      </c>
      <c r="B36" s="4" t="inlineStr">
        <is>
          <t>Reporting</t>
        </is>
      </c>
      <c r="C36" s="4" t="inlineStr">
        <is>
          <t>Python</t>
        </is>
      </c>
      <c r="D36" s="4" t="n">
        <v>1694</v>
      </c>
      <c r="E36" s="4">
        <f>SUMIFS(Data!$S$2:$S$236,Data!$A$2:$A$236,$A36)</f>
        <v>2</v>
      </c>
      <c r="F36" s="29">
        <f>AVERAGEIFS(Data!$H$2:$H$236,Data!$A$2:$A$236,$A36)</f>
        <v>16.362</v>
      </c>
      <c r="G36" s="29">
        <f>AVERAGEIFS(Data!$J$2:$J$236,Data!$A$2:$A$236,$A36)</f>
        <v>207.02</v>
      </c>
      <c r="H36" s="29">
        <f>AVERAGEIFS(Data!$K$2:$K$236,Data!$A$2:$A$236,$A36)</f>
        <v>74.88</v>
      </c>
      <c r="I36" s="29">
        <f>AVERAGEIFS(Data!$M$2:$M$236,Data!$A$2:$A$236,$A36)</f>
        <v>2.2</v>
      </c>
      <c r="J36" s="4">
        <f>COUNTIFS(Data!$A$2:$A$236,$A36,Data!$S$2:$S$236,"&gt;0")</f>
        <v>1</v>
      </c>
      <c r="K36" s="18">
        <f>E36/D36*1000</f>
        <v>1.18063754427391</v>
      </c>
      <c r="L36" s="4">
        <f>IF(J36&gt;=4,1,0)</f>
        <v>0</v>
      </c>
      <c r="M36" s="4">
        <f>RANK(E36,$E$2:$E$48,0)+COUNTIF($E$2:E36,E36)-1</f>
        <v>35</v>
      </c>
      <c r="N36" s="4" t="str">
        <f>INDEX(Priority_List!$M$5:$M$51,MATCH($A36,Priority_List!$A$5:$A$51,0))</f>
        <v>Tier 3: monitor</v>
      </c>
    </row>
    <row r="37">
      <c r="A37" s="4" t="inlineStr">
        <is>
          <t>auth_oauth</t>
        </is>
      </c>
      <c r="B37" s="4" t="inlineStr">
        <is>
          <t>Auth</t>
        </is>
      </c>
      <c r="C37" s="4" t="inlineStr">
        <is>
          <t>Java</t>
        </is>
      </c>
      <c r="D37" s="4" t="n">
        <v>619</v>
      </c>
      <c r="E37" s="4">
        <f>SUMIFS(Data!$S$2:$S$236,Data!$A$2:$A$236,$A37)</f>
        <v>2</v>
      </c>
      <c r="F37" s="29">
        <f>AVERAGEIFS(Data!$H$2:$H$236,Data!$A$2:$A$236,$A37)</f>
        <v>12.484</v>
      </c>
      <c r="G37" s="29">
        <f>AVERAGEIFS(Data!$J$2:$J$236,Data!$A$2:$A$236,$A37)</f>
        <v>155.27</v>
      </c>
      <c r="H37" s="29">
        <f>AVERAGEIFS(Data!$K$2:$K$236,Data!$A$2:$A$236,$A37)</f>
        <v>78.61</v>
      </c>
      <c r="I37" s="29">
        <f>AVERAGEIFS(Data!$M$2:$M$236,Data!$A$2:$A$236,$A37)</f>
        <v>2.6</v>
      </c>
      <c r="J37" s="4">
        <f>COUNTIFS(Data!$A$2:$A$236,$A37,Data!$S$2:$S$236,"&gt;0")</f>
        <v>2</v>
      </c>
      <c r="K37" s="18">
        <f>E37/D37*1000</f>
        <v>3.23101777059774</v>
      </c>
      <c r="L37" s="4">
        <f>IF(J37&gt;=4,1,0)</f>
        <v>0</v>
      </c>
      <c r="M37" s="4">
        <f>RANK(E37,$E$2:$E$48,0)+COUNTIF($E$2:E37,E37)-1</f>
        <v>36</v>
      </c>
      <c r="N37" s="4" t="str">
        <f>INDEX(Priority_List!$M$5:$M$51,MATCH($A37,Priority_List!$A$5:$A$51,0))</f>
        <v>Tier 3: monitor</v>
      </c>
    </row>
    <row r="38">
      <c r="A38" s="4" t="inlineStr">
        <is>
          <t>api_router</t>
        </is>
      </c>
      <c r="B38" s="4" t="inlineStr">
        <is>
          <t>API</t>
        </is>
      </c>
      <c r="C38" s="4" t="inlineStr">
        <is>
          <t>Java</t>
        </is>
      </c>
      <c r="D38" s="4" t="n">
        <v>2768</v>
      </c>
      <c r="E38" s="4">
        <f>SUMIFS(Data!$S$2:$S$236,Data!$A$2:$A$236,$A38)</f>
        <v>2</v>
      </c>
      <c r="F38" s="29">
        <f>AVERAGEIFS(Data!$H$2:$H$236,Data!$A$2:$A$236,$A38)</f>
        <v>4.822</v>
      </c>
      <c r="G38" s="29">
        <f>AVERAGEIFS(Data!$J$2:$J$236,Data!$A$2:$A$236,$A38)</f>
        <v>322.18</v>
      </c>
      <c r="H38" s="29">
        <f>AVERAGEIFS(Data!$K$2:$K$236,Data!$A$2:$A$236,$A38)</f>
        <v>69.84</v>
      </c>
      <c r="I38" s="29">
        <f>AVERAGEIFS(Data!$M$2:$M$236,Data!$A$2:$A$236,$A38)</f>
        <v>2.8</v>
      </c>
      <c r="J38" s="4">
        <f>COUNTIFS(Data!$A$2:$A$236,$A38,Data!$S$2:$S$236,"&gt;0")</f>
        <v>2</v>
      </c>
      <c r="K38" s="18">
        <f>E38/D38*1000</f>
        <v>0.722543352601156</v>
      </c>
      <c r="L38" s="4">
        <f>IF(J38&gt;=4,1,0)</f>
        <v>0</v>
      </c>
      <c r="M38" s="4">
        <f>RANK(E38,$E$2:$E$48,0)+COUNTIF($E$2:E38,E38)-1</f>
        <v>37</v>
      </c>
      <c r="N38" s="4" t="str">
        <f>INDEX(Priority_List!$M$5:$M$51,MATCH($A38,Priority_List!$A$5:$A$51,0))</f>
        <v>Tier 2: watch closely</v>
      </c>
    </row>
    <row r="39">
      <c r="A39" s="4" t="inlineStr">
        <is>
          <t>auth_rbac</t>
        </is>
      </c>
      <c r="B39" s="4" t="inlineStr">
        <is>
          <t>Auth</t>
        </is>
      </c>
      <c r="C39" s="4" t="inlineStr">
        <is>
          <t>Python</t>
        </is>
      </c>
      <c r="D39" s="4" t="n">
        <v>3386</v>
      </c>
      <c r="E39" s="4">
        <f>SUMIFS(Data!$S$2:$S$236,Data!$A$2:$A$236,$A39)</f>
        <v>2</v>
      </c>
      <c r="F39" s="29">
        <f>AVERAGEIFS(Data!$H$2:$H$236,Data!$A$2:$A$236,$A39)</f>
        <v>19.136</v>
      </c>
      <c r="G39" s="29">
        <f>AVERAGEIFS(Data!$J$2:$J$236,Data!$A$2:$A$236,$A39)</f>
        <v>237.1</v>
      </c>
      <c r="H39" s="29">
        <f>AVERAGEIFS(Data!$K$2:$K$236,Data!$A$2:$A$236,$A39)</f>
        <v>75.99</v>
      </c>
      <c r="I39" s="29">
        <f>AVERAGEIFS(Data!$M$2:$M$236,Data!$A$2:$A$236,$A39)</f>
        <v>2.6</v>
      </c>
      <c r="J39" s="4">
        <f>COUNTIFS(Data!$A$2:$A$236,$A39,Data!$S$2:$S$236,"&gt;0")</f>
        <v>2</v>
      </c>
      <c r="K39" s="18">
        <f>E39/D39*1000</f>
        <v>0.590667454223272</v>
      </c>
      <c r="L39" s="4">
        <f>IF(J39&gt;=4,1,0)</f>
        <v>0</v>
      </c>
      <c r="M39" s="4">
        <f>RANK(E39,$E$2:$E$48,0)+COUNTIF($E$2:E39,E39)-1</f>
        <v>38</v>
      </c>
      <c r="N39" s="4" t="str">
        <f>INDEX(Priority_List!$M$5:$M$51,MATCH($A39,Priority_List!$A$5:$A$51,0))</f>
        <v>Tier 3: monitor</v>
      </c>
    </row>
    <row r="40">
      <c r="A40" s="4" t="inlineStr">
        <is>
          <t>database_indexing</t>
        </is>
      </c>
      <c r="B40" s="4" t="inlineStr">
        <is>
          <t>Database</t>
        </is>
      </c>
      <c r="C40" s="4" t="inlineStr">
        <is>
          <t>C++</t>
        </is>
      </c>
      <c r="D40" s="4" t="n">
        <v>2952</v>
      </c>
      <c r="E40" s="4">
        <f>SUMIFS(Data!$S$2:$S$236,Data!$A$2:$A$236,$A40)</f>
        <v>1</v>
      </c>
      <c r="F40" s="29">
        <f>AVERAGEIFS(Data!$H$2:$H$236,Data!$A$2:$A$236,$A40)</f>
        <v>9.017</v>
      </c>
      <c r="G40" s="29">
        <f>AVERAGEIFS(Data!$J$2:$J$236,Data!$A$2:$A$236,$A40)</f>
        <v>200.08</v>
      </c>
      <c r="H40" s="29">
        <f>AVERAGEIFS(Data!$K$2:$K$236,Data!$A$2:$A$236,$A40)</f>
        <v>57.98</v>
      </c>
      <c r="I40" s="29">
        <f>AVERAGEIFS(Data!$M$2:$M$236,Data!$A$2:$A$236,$A40)</f>
        <v>2.4</v>
      </c>
      <c r="J40" s="4">
        <f>COUNTIFS(Data!$A$2:$A$236,$A40,Data!$S$2:$S$236,"&gt;0")</f>
        <v>1</v>
      </c>
      <c r="K40" s="18">
        <f>E40/D40*1000</f>
        <v>0.338753387533875</v>
      </c>
      <c r="L40" s="4">
        <f>IF(J40&gt;=4,1,0)</f>
        <v>0</v>
      </c>
      <c r="M40" s="4">
        <f>RANK(E40,$E$2:$E$48,0)+COUNTIF($E$2:E40,E40)-1</f>
        <v>39</v>
      </c>
      <c r="N40" s="4" t="str">
        <f>INDEX(Priority_List!$M$5:$M$51,MATCH($A40,Priority_List!$A$5:$A$51,0))</f>
        <v>Tier 2: watch closely</v>
      </c>
    </row>
    <row r="41">
      <c r="A41" s="4" t="inlineStr">
        <is>
          <t>reporting_emailer</t>
        </is>
      </c>
      <c r="B41" s="4" t="inlineStr">
        <is>
          <t>Reporting</t>
        </is>
      </c>
      <c r="C41" s="4" t="inlineStr">
        <is>
          <t>Python</t>
        </is>
      </c>
      <c r="D41" s="4" t="n">
        <v>3572</v>
      </c>
      <c r="E41" s="4">
        <f>SUMIFS(Data!$S$2:$S$236,Data!$A$2:$A$236,$A41)</f>
        <v>1</v>
      </c>
      <c r="F41" s="29">
        <f>AVERAGEIFS(Data!$H$2:$H$236,Data!$A$2:$A$236,$A41)</f>
        <v>2.876</v>
      </c>
      <c r="G41" s="29">
        <f>AVERAGEIFS(Data!$J$2:$J$236,Data!$A$2:$A$236,$A41)</f>
        <v>372.9</v>
      </c>
      <c r="H41" s="29">
        <f>AVERAGEIFS(Data!$K$2:$K$236,Data!$A$2:$A$236,$A41)</f>
        <v>76.94</v>
      </c>
      <c r="I41" s="29">
        <f>AVERAGEIFS(Data!$M$2:$M$236,Data!$A$2:$A$236,$A41)</f>
        <v>4.4</v>
      </c>
      <c r="J41" s="4">
        <f>COUNTIFS(Data!$A$2:$A$236,$A41,Data!$S$2:$S$236,"&gt;0")</f>
        <v>1</v>
      </c>
      <c r="K41" s="18">
        <f>E41/D41*1000</f>
        <v>0.279955207166853</v>
      </c>
      <c r="L41" s="4">
        <f>IF(J41&gt;=4,1,0)</f>
        <v>0</v>
      </c>
      <c r="M41" s="4">
        <f>RANK(E41,$E$2:$E$48,0)+COUNTIF($E$2:E41,E41)-1</f>
        <v>40</v>
      </c>
      <c r="N41" s="4" t="str">
        <f>INDEX(Priority_List!$M$5:$M$51,MATCH($A41,Priority_List!$A$5:$A$51,0))</f>
        <v>Tier 2: watch closely</v>
      </c>
    </row>
    <row r="42">
      <c r="A42" s="4" t="inlineStr">
        <is>
          <t>database_pool</t>
        </is>
      </c>
      <c r="B42" s="4" t="inlineStr">
        <is>
          <t>Database</t>
        </is>
      </c>
      <c r="C42" s="4" t="inlineStr">
        <is>
          <t>C++</t>
        </is>
      </c>
      <c r="D42" s="4" t="n">
        <v>3121</v>
      </c>
      <c r="E42" s="4">
        <f>SUMIFS(Data!$S$2:$S$236,Data!$A$2:$A$236,$A42)</f>
        <v>1</v>
      </c>
      <c r="F42" s="29">
        <f>AVERAGEIFS(Data!$H$2:$H$236,Data!$A$2:$A$236,$A42)</f>
        <v>10.188</v>
      </c>
      <c r="G42" s="29">
        <f>AVERAGEIFS(Data!$J$2:$J$236,Data!$A$2:$A$236,$A42)</f>
        <v>205.77</v>
      </c>
      <c r="H42" s="29">
        <f>AVERAGEIFS(Data!$K$2:$K$236,Data!$A$2:$A$236,$A42)</f>
        <v>66.92</v>
      </c>
      <c r="I42" s="29">
        <f>AVERAGEIFS(Data!$M$2:$M$236,Data!$A$2:$A$236,$A42)</f>
        <v>2.8</v>
      </c>
      <c r="J42" s="4">
        <f>COUNTIFS(Data!$A$2:$A$236,$A42,Data!$S$2:$S$236,"&gt;0")</f>
        <v>1</v>
      </c>
      <c r="K42" s="18">
        <f>E42/D42*1000</f>
        <v>0.320410124959949</v>
      </c>
      <c r="L42" s="4">
        <f>IF(J42&gt;=4,1,0)</f>
        <v>0</v>
      </c>
      <c r="M42" s="4">
        <f>RANK(E42,$E$2:$E$48,0)+COUNTIF($E$2:E42,E42)-1</f>
        <v>41</v>
      </c>
      <c r="N42" s="4" t="str">
        <f>INDEX(Priority_List!$M$5:$M$51,MATCH($A42,Priority_List!$A$5:$A$51,0))</f>
        <v>Tier 2: watch closely</v>
      </c>
    </row>
    <row r="43">
      <c r="A43" s="4" t="inlineStr">
        <is>
          <t>auth_password</t>
        </is>
      </c>
      <c r="B43" s="4" t="inlineStr">
        <is>
          <t>Auth</t>
        </is>
      </c>
      <c r="C43" s="4" t="inlineStr">
        <is>
          <t>Python</t>
        </is>
      </c>
      <c r="D43" s="4" t="n">
        <v>914</v>
      </c>
      <c r="E43" s="4">
        <f>SUMIFS(Data!$S$2:$S$236,Data!$A$2:$A$236,$A43)</f>
        <v>0</v>
      </c>
      <c r="F43" s="29">
        <f>AVERAGEIFS(Data!$H$2:$H$236,Data!$A$2:$A$236,$A43)</f>
        <v>11.438</v>
      </c>
      <c r="G43" s="29">
        <f>AVERAGEIFS(Data!$J$2:$J$236,Data!$A$2:$A$236,$A43)</f>
        <v>204.54</v>
      </c>
      <c r="H43" s="29">
        <f>AVERAGEIFS(Data!$K$2:$K$236,Data!$A$2:$A$236,$A43)</f>
        <v>73.64</v>
      </c>
      <c r="I43" s="29">
        <f>AVERAGEIFS(Data!$M$2:$M$236,Data!$A$2:$A$236,$A43)</f>
        <v>3.4</v>
      </c>
      <c r="J43" s="4">
        <f>COUNTIFS(Data!$A$2:$A$236,$A43,Data!$S$2:$S$236,"&gt;0")</f>
        <v>0</v>
      </c>
      <c r="K43" s="18">
        <f>E43/D43*1000</f>
        <v>0</v>
      </c>
      <c r="L43" s="4">
        <f>IF(J43&gt;=4,1,0)</f>
        <v>0</v>
      </c>
      <c r="M43" s="4">
        <f>RANK(E43,$E$2:$E$48,0)+COUNTIF($E$2:E43,E43)-1</f>
        <v>42</v>
      </c>
      <c r="N43" s="4" t="str">
        <f>INDEX(Priority_List!$M$5:$M$51,MATCH($A43,Priority_List!$A$5:$A$51,0))</f>
        <v>Tier 3: monitor</v>
      </c>
    </row>
    <row r="44">
      <c r="A44" s="4" t="inlineStr">
        <is>
          <t>api_ratelimit</t>
        </is>
      </c>
      <c r="B44" s="4" t="inlineStr">
        <is>
          <t>API</t>
        </is>
      </c>
      <c r="C44" s="4" t="inlineStr">
        <is>
          <t>Java</t>
        </is>
      </c>
      <c r="D44" s="4" t="n">
        <v>2143</v>
      </c>
      <c r="E44" s="4">
        <f>SUMIFS(Data!$S$2:$S$236,Data!$A$2:$A$236,$A44)</f>
        <v>0</v>
      </c>
      <c r="F44" s="29">
        <f>AVERAGEIFS(Data!$H$2:$H$236,Data!$A$2:$A$236,$A44)</f>
        <v>14.808</v>
      </c>
      <c r="G44" s="29">
        <f>AVERAGEIFS(Data!$J$2:$J$236,Data!$A$2:$A$236,$A44)</f>
        <v>291.18</v>
      </c>
      <c r="H44" s="29">
        <f>AVERAGEIFS(Data!$K$2:$K$236,Data!$A$2:$A$236,$A44)</f>
        <v>68.76</v>
      </c>
      <c r="I44" s="29">
        <f>AVERAGEIFS(Data!$M$2:$M$236,Data!$A$2:$A$236,$A44)</f>
        <v>3.4</v>
      </c>
      <c r="J44" s="4">
        <f>COUNTIFS(Data!$A$2:$A$236,$A44,Data!$S$2:$S$236,"&gt;0")</f>
        <v>0</v>
      </c>
      <c r="K44" s="18">
        <f>E44/D44*1000</f>
        <v>0</v>
      </c>
      <c r="L44" s="4">
        <f>IF(J44&gt;=4,1,0)</f>
        <v>0</v>
      </c>
      <c r="M44" s="4">
        <f>RANK(E44,$E$2:$E$48,0)+COUNTIF($E$2:E44,E44)-1</f>
        <v>43</v>
      </c>
      <c r="N44" s="4" t="str">
        <f>INDEX(Priority_List!$M$5:$M$51,MATCH($A44,Priority_List!$A$5:$A$51,0))</f>
        <v>Tier 3: monitor</v>
      </c>
    </row>
    <row r="45">
      <c r="A45" s="4" t="inlineStr">
        <is>
          <t>api_graphql</t>
        </is>
      </c>
      <c r="B45" s="4" t="inlineStr">
        <is>
          <t>API</t>
        </is>
      </c>
      <c r="C45" s="4" t="inlineStr">
        <is>
          <t>Java</t>
        </is>
      </c>
      <c r="D45" s="4" t="n">
        <v>2080</v>
      </c>
      <c r="E45" s="4">
        <f>SUMIFS(Data!$S$2:$S$236,Data!$A$2:$A$236,$A45)</f>
        <v>0</v>
      </c>
      <c r="F45" s="29">
        <f>AVERAGEIFS(Data!$H$2:$H$236,Data!$A$2:$A$236,$A45)</f>
        <v>11.3</v>
      </c>
      <c r="G45" s="29">
        <f>AVERAGEIFS(Data!$J$2:$J$236,Data!$A$2:$A$236,$A45)</f>
        <v>294.93</v>
      </c>
      <c r="H45" s="29">
        <f>AVERAGEIFS(Data!$K$2:$K$236,Data!$A$2:$A$236,$A45)</f>
        <v>74.5</v>
      </c>
      <c r="I45" s="29">
        <f>AVERAGEIFS(Data!$M$2:$M$236,Data!$A$2:$A$236,$A45)</f>
        <v>3.6</v>
      </c>
      <c r="J45" s="4">
        <f>COUNTIFS(Data!$A$2:$A$236,$A45,Data!$S$2:$S$236,"&gt;0")</f>
        <v>0</v>
      </c>
      <c r="K45" s="18">
        <f>E45/D45*1000</f>
        <v>0</v>
      </c>
      <c r="L45" s="4">
        <f>IF(J45&gt;=4,1,0)</f>
        <v>0</v>
      </c>
      <c r="M45" s="4">
        <f>RANK(E45,$E$2:$E$48,0)+COUNTIF($E$2:E45,E45)-1</f>
        <v>44</v>
      </c>
      <c r="N45" s="4" t="str">
        <f>INDEX(Priority_List!$M$5:$M$51,MATCH($A45,Priority_List!$A$5:$A$51,0))</f>
        <v>Tier 3: monitor</v>
      </c>
    </row>
    <row r="46">
      <c r="A46" s="4" t="inlineStr">
        <is>
          <t>auth_mfa</t>
        </is>
      </c>
      <c r="B46" s="4" t="inlineStr">
        <is>
          <t>Auth</t>
        </is>
      </c>
      <c r="C46" s="4" t="inlineStr">
        <is>
          <t>Python</t>
        </is>
      </c>
      <c r="D46" s="4" t="n">
        <v>1978</v>
      </c>
      <c r="E46" s="4">
        <f>SUMIFS(Data!$S$2:$S$236,Data!$A$2:$A$236,$A46)</f>
        <v>0</v>
      </c>
      <c r="F46" s="29">
        <f>AVERAGEIFS(Data!$H$2:$H$236,Data!$A$2:$A$236,$A46)</f>
        <v>5.334</v>
      </c>
      <c r="G46" s="29">
        <f>AVERAGEIFS(Data!$J$2:$J$236,Data!$A$2:$A$236,$A46)</f>
        <v>308.12</v>
      </c>
      <c r="H46" s="29">
        <f>AVERAGEIFS(Data!$K$2:$K$236,Data!$A$2:$A$236,$A46)</f>
        <v>67.22</v>
      </c>
      <c r="I46" s="29">
        <f>AVERAGEIFS(Data!$M$2:$M$236,Data!$A$2:$A$236,$A46)</f>
        <v>3</v>
      </c>
      <c r="J46" s="4">
        <f>COUNTIFS(Data!$A$2:$A$236,$A46,Data!$S$2:$S$236,"&gt;0")</f>
        <v>0</v>
      </c>
      <c r="K46" s="18">
        <f>E46/D46*1000</f>
        <v>0</v>
      </c>
      <c r="L46" s="4">
        <f>IF(J46&gt;=4,1,0)</f>
        <v>0</v>
      </c>
      <c r="M46" s="4">
        <f>RANK(E46,$E$2:$E$48,0)+COUNTIF($E$2:E46,E46)-1</f>
        <v>45</v>
      </c>
      <c r="N46" s="4" t="str">
        <f>INDEX(Priority_List!$M$5:$M$51,MATCH($A46,Priority_List!$A$5:$A$51,0))</f>
        <v>Tier 3: monitor</v>
      </c>
    </row>
    <row r="47">
      <c r="A47" s="4" t="inlineStr">
        <is>
          <t>auth_login</t>
        </is>
      </c>
      <c r="B47" s="4" t="inlineStr">
        <is>
          <t>Auth</t>
        </is>
      </c>
      <c r="C47" s="4" t="inlineStr">
        <is>
          <t>Java</t>
        </is>
      </c>
      <c r="D47" s="4" t="n">
        <v>1070</v>
      </c>
      <c r="E47" s="4">
        <f>SUMIFS(Data!$S$2:$S$236,Data!$A$2:$A$236,$A47)</f>
        <v>0</v>
      </c>
      <c r="F47" s="29">
        <f>AVERAGEIFS(Data!$H$2:$H$236,Data!$A$2:$A$236,$A47)</f>
        <v>9.977</v>
      </c>
      <c r="G47" s="29">
        <f>AVERAGEIFS(Data!$J$2:$J$236,Data!$A$2:$A$236,$A47)</f>
        <v>238.1</v>
      </c>
      <c r="H47" s="29">
        <f>AVERAGEIFS(Data!$K$2:$K$236,Data!$A$2:$A$236,$A47)</f>
        <v>72.96</v>
      </c>
      <c r="I47" s="29">
        <f>AVERAGEIFS(Data!$M$2:$M$236,Data!$A$2:$A$236,$A47)</f>
        <v>3.4</v>
      </c>
      <c r="J47" s="4">
        <f>COUNTIFS(Data!$A$2:$A$236,$A47,Data!$S$2:$S$236,"&gt;0")</f>
        <v>0</v>
      </c>
      <c r="K47" s="18">
        <f>E47/D47*1000</f>
        <v>0</v>
      </c>
      <c r="L47" s="4">
        <f>IF(J47&gt;=4,1,0)</f>
        <v>0</v>
      </c>
      <c r="M47" s="4">
        <f>RANK(E47,$E$2:$E$48,0)+COUNTIF($E$2:E47,E47)-1</f>
        <v>46</v>
      </c>
      <c r="N47" s="4" t="str">
        <f>INDEX(Priority_List!$M$5:$M$51,MATCH($A47,Priority_List!$A$5:$A$51,0))</f>
        <v>Tier 3: monitor</v>
      </c>
    </row>
    <row r="48">
      <c r="A48" s="4" t="inlineStr">
        <is>
          <t>reporting_aggregator</t>
        </is>
      </c>
      <c r="B48" s="4" t="inlineStr">
        <is>
          <t>Reporting</t>
        </is>
      </c>
      <c r="C48" s="4" t="inlineStr">
        <is>
          <t>Java</t>
        </is>
      </c>
      <c r="D48" s="4" t="n">
        <v>1634</v>
      </c>
      <c r="E48" s="4">
        <f>SUMIFS(Data!$S$2:$S$236,Data!$A$2:$A$236,$A48)</f>
        <v>0</v>
      </c>
      <c r="F48" s="29">
        <f>AVERAGEIFS(Data!$H$2:$H$236,Data!$A$2:$A$236,$A48)</f>
        <v>11.074</v>
      </c>
      <c r="G48" s="29">
        <f>AVERAGEIFS(Data!$J$2:$J$236,Data!$A$2:$A$236,$A48)</f>
        <v>188.9</v>
      </c>
      <c r="H48" s="29">
        <f>AVERAGEIFS(Data!$K$2:$K$236,Data!$A$2:$A$236,$A48)</f>
        <v>86.1</v>
      </c>
      <c r="I48" s="29">
        <f>AVERAGEIFS(Data!$M$2:$M$236,Data!$A$2:$A$236,$A48)</f>
        <v>2.6</v>
      </c>
      <c r="J48" s="4">
        <f>COUNTIFS(Data!$A$2:$A$236,$A48,Data!$S$2:$S$236,"&gt;0")</f>
        <v>0</v>
      </c>
      <c r="K48" s="18">
        <f>E48/D48*1000</f>
        <v>0</v>
      </c>
      <c r="L48" s="4">
        <f>IF(J48&gt;=4,1,0)</f>
        <v>0</v>
      </c>
      <c r="M48" s="4">
        <f>RANK(E48,$E$2:$E$48,0)+COUNTIF($E$2:E48,E48)-1</f>
        <v>47</v>
      </c>
      <c r="N48" s="4" t="str">
        <f>INDEX(Priority_List!$M$5:$M$51,MATCH($A48,Priority_List!$A$5:$A$51,0))</f>
        <v>Tier 3: monitor</v>
      </c>
    </row>
  </sheetData>
  <autoFilter ref="A1:N48"/>
  <conditionalFormatting sqref="N2:N48">
    <cfRule type="expression" priority="1" dxfId="0">
      <formula>LEFT($N2,6)="Tier 1"</formula>
    </cfRule>
    <cfRule type="expression" priority="2" dxfId="1">
      <formula>LEFT($N2,6)="Tier 2"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A1:AE23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6" customWidth="1" min="28" max="28"/>
    <col width="16" customWidth="1" min="29" max="29"/>
    <col width="14" customWidth="1" min="30" max="30"/>
    <col width="14" customWidth="1" min="31" max="31"/>
  </cols>
  <sheetData>
    <row r="1" ht="32" customHeight="1">
      <c r="A1" s="7" t="inlineStr">
        <is>
          <t>module</t>
        </is>
      </c>
      <c r="B1" s="7" t="inlineStr">
        <is>
          <t>component</t>
        </is>
      </c>
      <c r="C1" s="7" t="inlineStr">
        <is>
          <t>language</t>
        </is>
      </c>
      <c r="D1" s="7" t="inlineStr">
        <is>
          <t>release</t>
        </is>
      </c>
      <c r="E1" s="7" t="inlineStr">
        <is>
          <t>release_date</t>
        </is>
      </c>
      <c r="F1" s="7" t="inlineStr">
        <is>
          <t>release_index</t>
        </is>
      </c>
      <c r="G1" s="7" t="inlineStr">
        <is>
          <t>size</t>
        </is>
      </c>
      <c r="H1" s="7" t="inlineStr">
        <is>
          <t>complexity</t>
        </is>
      </c>
      <c r="I1" s="7" t="inlineStr">
        <is>
          <t>coupling</t>
        </is>
      </c>
      <c r="J1" s="7" t="inlineStr">
        <is>
          <t>churn</t>
        </is>
      </c>
      <c r="K1" s="7" t="inlineStr">
        <is>
          <t>test_coverage</t>
        </is>
      </c>
      <c r="L1" s="7" t="inlineStr">
        <is>
          <t>commit_count</t>
        </is>
      </c>
      <c r="M1" s="7" t="inlineStr">
        <is>
          <t>contributors</t>
        </is>
      </c>
      <c r="N1" s="7" t="inlineStr">
        <is>
          <t>changed_lines</t>
        </is>
      </c>
      <c r="O1" s="7" t="inlineStr">
        <is>
          <t>defects_low</t>
        </is>
      </c>
      <c r="P1" s="7" t="inlineStr">
        <is>
          <t>defects_medium</t>
        </is>
      </c>
      <c r="Q1" s="7" t="inlineStr">
        <is>
          <t>defects_high</t>
        </is>
      </c>
      <c r="R1" s="7" t="inlineStr">
        <is>
          <t>defects_critical</t>
        </is>
      </c>
      <c r="S1" s="7" t="inlineStr">
        <is>
          <t>total_defects</t>
        </is>
      </c>
      <c r="T1" s="7" t="inlineStr">
        <is>
          <t>churn_per_commit</t>
        </is>
      </c>
      <c r="U1" s="7" t="inlineStr">
        <is>
          <t>defect_density</t>
        </is>
      </c>
      <c r="V1" s="7" t="inlineStr">
        <is>
          <t>high_severity_defects</t>
        </is>
      </c>
      <c r="W1" s="7" t="inlineStr">
        <is>
          <t>risk_score</t>
        </is>
      </c>
      <c r="X1" s="7" t="inlineStr">
        <is>
          <t>defects_prev_release</t>
        </is>
      </c>
      <c r="Y1" s="7" t="inlineStr">
        <is>
          <t>repeat_defect_flag</t>
        </is>
      </c>
      <c r="Z1" s="7" t="inlineStr">
        <is>
          <t>high_defect</t>
        </is>
      </c>
      <c r="AA1" s="7" t="inlineStr">
        <is>
          <t>complexity_outlier</t>
        </is>
      </c>
      <c r="AB1" s="7" t="inlineStr">
        <is>
          <t>complexity_band</t>
        </is>
      </c>
      <c r="AC1" s="7" t="inlineStr">
        <is>
          <t>churn_band</t>
        </is>
      </c>
      <c r="AD1" s="7" t="inlineStr">
        <is>
          <t>coverage_band</t>
        </is>
      </c>
      <c r="AE1" s="7" t="inlineStr">
        <is>
          <t>contributor_group</t>
        </is>
      </c>
    </row>
    <row r="2">
      <c r="A2" s="4" t="inlineStr">
        <is>
          <t>api_docs</t>
        </is>
      </c>
      <c r="B2" s="4" t="inlineStr">
        <is>
          <t>API</t>
        </is>
      </c>
      <c r="C2" s="4" t="inlineStr">
        <is>
          <t>Python</t>
        </is>
      </c>
      <c r="D2" s="4" t="inlineStr">
        <is>
          <t>v1.0</t>
        </is>
      </c>
      <c r="E2" s="40" t="n">
        <v>45306</v>
      </c>
      <c r="F2" s="4" t="n">
        <v>1</v>
      </c>
      <c r="G2" s="4" t="n">
        <v>2376</v>
      </c>
      <c r="H2" s="18" t="n">
        <v>14.43</v>
      </c>
      <c r="I2" s="18" t="n">
        <v>10.44</v>
      </c>
      <c r="J2" s="29" t="n">
        <v>159.9</v>
      </c>
      <c r="K2" s="29" t="n">
        <v>89.90000000000001</v>
      </c>
      <c r="L2" s="4" t="n">
        <v>5</v>
      </c>
      <c r="M2" s="4" t="n">
        <v>3</v>
      </c>
      <c r="N2" s="4" t="n">
        <v>204</v>
      </c>
      <c r="O2" s="4" t="n">
        <v>0</v>
      </c>
      <c r="P2" s="4" t="n">
        <v>0</v>
      </c>
      <c r="Q2" s="4" t="n">
        <v>0</v>
      </c>
      <c r="R2" s="4" t="n">
        <v>0</v>
      </c>
      <c r="S2" s="4">
        <f>SUM(O2:R2)</f>
        <v>0</v>
      </c>
      <c r="T2" s="18">
        <f>J2/L2</f>
        <v>31.98</v>
      </c>
      <c r="U2" s="18">
        <f>S2/G2*1000</f>
        <v>0</v>
      </c>
      <c r="V2" s="4">
        <f>Q2+R2</f>
        <v>0</v>
      </c>
      <c r="W2" s="29">
        <f>100*((J2-MIN($J$2:$J$236))/(MAX($J$2:$J$236)-MIN($J$2:$J$236))+(H2-MIN($H$2:$H$236))/(MAX($H$2:$H$236)-MIN($H$2:$H$236))+(1-(K2-MIN($K$2:$K$236))/(MAX($K$2:$K$236)-MIN($K$2:$K$236))))/3</f>
        <v>20.3491830514133</v>
      </c>
      <c r="X2" s="4" t="n">
        <v>0</v>
      </c>
      <c r="Y2" s="4" t="n">
        <v>0</v>
      </c>
      <c r="Z2" s="4" t="n">
        <v>0</v>
      </c>
      <c r="AA2" s="4" t="inlineStr">
        <is>
          <t>No</t>
        </is>
      </c>
      <c r="AB2" s="4" t="str">
        <f>IF(H2&lt;=Complexity!$C$11,"Q1 (lowest)",IF(H2&lt;=Complexity!$C$12,"Q2",IF(H2&lt;=Complexity!$C$13,"Q3","Q4 (highest)")))</f>
        <v>Q2</v>
      </c>
      <c r="AC2" s="4" t="str">
        <f>IF(J2&lt;=Churn!$C$11,"Q1 (lowest)",IF(J2&lt;=Churn!$C$12,"Q2",IF(J2&lt;=Churn!$C$13,"Q3","Q4 (highest)")))</f>
        <v>Q1 (lowest)</v>
      </c>
      <c r="AD2" s="4" t="str">
        <f>IF(K2&lt;=40,"&lt;=40%",IF(K2&lt;=60,"40-60%",IF(K2&lt;=80,"60-80%","80%+")))</f>
        <v>80%+</v>
      </c>
      <c r="AE2" s="4" t="str">
        <f>IF(M2&lt;=2,"1-2",IF(M2&lt;=4,"3-4",IF(M2&lt;=6,"5-6","7+")))</f>
        <v>3-4</v>
      </c>
    </row>
    <row r="3">
      <c r="A3" s="4" t="inlineStr">
        <is>
          <t>api_docs</t>
        </is>
      </c>
      <c r="B3" s="4" t="inlineStr">
        <is>
          <t>API</t>
        </is>
      </c>
      <c r="C3" s="4" t="inlineStr">
        <is>
          <t>Python</t>
        </is>
      </c>
      <c r="D3" s="4" t="inlineStr">
        <is>
          <t>v1.1</t>
        </is>
      </c>
      <c r="E3" s="40" t="n">
        <v>45432</v>
      </c>
      <c r="F3" s="4" t="n">
        <v>2</v>
      </c>
      <c r="G3" s="4" t="n">
        <v>2376</v>
      </c>
      <c r="H3" s="18" t="n">
        <v>13.595</v>
      </c>
      <c r="I3" s="18" t="n">
        <v>5.53</v>
      </c>
      <c r="J3" s="29" t="n">
        <v>373.1</v>
      </c>
      <c r="K3" s="29" t="n">
        <v>88.3</v>
      </c>
      <c r="L3" s="4" t="n">
        <v>12</v>
      </c>
      <c r="M3" s="4" t="n">
        <v>5</v>
      </c>
      <c r="N3" s="4" t="n">
        <v>459</v>
      </c>
      <c r="O3" s="4" t="n">
        <v>0</v>
      </c>
      <c r="P3" s="4" t="n">
        <v>0</v>
      </c>
      <c r="Q3" s="4" t="n">
        <v>0</v>
      </c>
      <c r="R3" s="4" t="n">
        <v>0</v>
      </c>
      <c r="S3" s="4">
        <f>SUM(O3:R3)</f>
        <v>0</v>
      </c>
      <c r="T3" s="18">
        <f>J3/L3</f>
        <v>31.0916666666667</v>
      </c>
      <c r="U3" s="18">
        <f>S3/G3*1000</f>
        <v>0</v>
      </c>
      <c r="V3" s="4">
        <f>Q3+R3</f>
        <v>0</v>
      </c>
      <c r="W3" s="29">
        <f>100*((J3-MIN($J$2:$J$236))/(MAX($J$2:$J$236)-MIN($J$2:$J$236))+(H3-MIN($H$2:$H$236))/(MAX($H$2:$H$236)-MIN($H$2:$H$236))+(1-(K3-MIN($K$2:$K$236))/(MAX($K$2:$K$236)-MIN($K$2:$K$236))))/3</f>
        <v>26.0381057763809</v>
      </c>
      <c r="X3" s="4" t="n">
        <v>0</v>
      </c>
      <c r="Y3" s="4" t="n">
        <v>0</v>
      </c>
      <c r="Z3" s="4" t="n">
        <v>0</v>
      </c>
      <c r="AA3" s="4" t="inlineStr">
        <is>
          <t>No</t>
        </is>
      </c>
      <c r="AB3" s="4" t="str">
        <f>IF(H3&lt;=Complexity!$C$11,"Q1 (lowest)",IF(H3&lt;=Complexity!$C$12,"Q2",IF(H3&lt;=Complexity!$C$13,"Q3","Q4 (highest)")))</f>
        <v>Q2</v>
      </c>
      <c r="AC3" s="4" t="str">
        <f>IF(J3&lt;=Churn!$C$11,"Q1 (lowest)",IF(J3&lt;=Churn!$C$12,"Q2",IF(J3&lt;=Churn!$C$13,"Q3","Q4 (highest)")))</f>
        <v>Q3</v>
      </c>
      <c r="AD3" s="4" t="str">
        <f>IF(K3&lt;=40,"&lt;=40%",IF(K3&lt;=60,"40-60%",IF(K3&lt;=80,"60-80%","80%+")))</f>
        <v>80%+</v>
      </c>
      <c r="AE3" s="4" t="str">
        <f>IF(M3&lt;=2,"1-2",IF(M3&lt;=4,"3-4",IF(M3&lt;=6,"5-6","7+")))</f>
        <v>5-6</v>
      </c>
    </row>
    <row r="4">
      <c r="A4" s="4" t="inlineStr">
        <is>
          <t>api_docs</t>
        </is>
      </c>
      <c r="B4" s="4" t="inlineStr">
        <is>
          <t>API</t>
        </is>
      </c>
      <c r="C4" s="4" t="inlineStr">
        <is>
          <t>Python</t>
        </is>
      </c>
      <c r="D4" s="4" t="inlineStr">
        <is>
          <t>v2.0</t>
        </is>
      </c>
      <c r="E4" s="40" t="n">
        <v>45545</v>
      </c>
      <c r="F4" s="4" t="n">
        <v>3</v>
      </c>
      <c r="G4" s="4" t="n">
        <v>2376</v>
      </c>
      <c r="H4" s="18" t="n">
        <v>12.76</v>
      </c>
      <c r="I4" s="18" t="n">
        <v>9.970000000000001</v>
      </c>
      <c r="J4" s="29" t="n">
        <v>266.5</v>
      </c>
      <c r="K4" s="29" t="n">
        <v>93.09999999999999</v>
      </c>
      <c r="L4" s="4" t="n">
        <v>12</v>
      </c>
      <c r="M4" s="4" t="n">
        <v>3</v>
      </c>
      <c r="N4" s="4" t="n">
        <v>557</v>
      </c>
      <c r="O4" s="4" t="n">
        <v>0</v>
      </c>
      <c r="P4" s="4" t="n">
        <v>0</v>
      </c>
      <c r="Q4" s="4" t="n">
        <v>0</v>
      </c>
      <c r="R4" s="4" t="n">
        <v>0</v>
      </c>
      <c r="S4" s="4">
        <f>SUM(O4:R4)</f>
        <v>0</v>
      </c>
      <c r="T4" s="18">
        <f>J4/L4</f>
        <v>22.2083333333333</v>
      </c>
      <c r="U4" s="18">
        <f>S4/G4*1000</f>
        <v>0</v>
      </c>
      <c r="V4" s="4">
        <f>Q4+R4</f>
        <v>0</v>
      </c>
      <c r="W4" s="29">
        <f>100*((J4-MIN($J$2:$J$236))/(MAX($J$2:$J$236)-MIN($J$2:$J$236))+(H4-MIN($H$2:$H$236))/(MAX($H$2:$H$236)-MIN($H$2:$H$236))+(1-(K4-MIN($K$2:$K$236))/(MAX($K$2:$K$236)-MIN($K$2:$K$236))))/3</f>
        <v>20.0400411713855</v>
      </c>
      <c r="X4" s="4" t="n">
        <v>0</v>
      </c>
      <c r="Y4" s="4" t="n">
        <v>0</v>
      </c>
      <c r="Z4" s="4" t="n">
        <v>0</v>
      </c>
      <c r="AA4" s="4" t="inlineStr">
        <is>
          <t>No</t>
        </is>
      </c>
      <c r="AB4" s="4" t="str">
        <f>IF(H4&lt;=Complexity!$C$11,"Q1 (lowest)",IF(H4&lt;=Complexity!$C$12,"Q2",IF(H4&lt;=Complexity!$C$13,"Q3","Q4 (highest)")))</f>
        <v>Q2</v>
      </c>
      <c r="AC4" s="4" t="str">
        <f>IF(J4&lt;=Churn!$C$11,"Q1 (lowest)",IF(J4&lt;=Churn!$C$12,"Q2",IF(J4&lt;=Churn!$C$13,"Q3","Q4 (highest)")))</f>
        <v>Q2</v>
      </c>
      <c r="AD4" s="4" t="str">
        <f>IF(K4&lt;=40,"&lt;=40%",IF(K4&lt;=60,"40-60%",IF(K4&lt;=80,"60-80%","80%+")))</f>
        <v>80%+</v>
      </c>
      <c r="AE4" s="4" t="str">
        <f>IF(M4&lt;=2,"1-2",IF(M4&lt;=4,"3-4",IF(M4&lt;=6,"5-6","7+")))</f>
        <v>3-4</v>
      </c>
    </row>
    <row r="5">
      <c r="A5" s="4" t="inlineStr">
        <is>
          <t>api_docs</t>
        </is>
      </c>
      <c r="B5" s="4" t="inlineStr">
        <is>
          <t>API</t>
        </is>
      </c>
      <c r="C5" s="4" t="inlineStr">
        <is>
          <t>Python</t>
        </is>
      </c>
      <c r="D5" s="4" t="inlineStr">
        <is>
          <t>v2.1</t>
        </is>
      </c>
      <c r="E5" s="40" t="n">
        <v>45706</v>
      </c>
      <c r="F5" s="4" t="n">
        <v>4</v>
      </c>
      <c r="G5" s="4" t="n">
        <v>2376</v>
      </c>
      <c r="H5" s="18" t="n">
        <v>19.7</v>
      </c>
      <c r="I5" s="18" t="n">
        <v>11.34</v>
      </c>
      <c r="J5" s="29" t="n">
        <v>84.59999999999999</v>
      </c>
      <c r="K5" s="29" t="n">
        <v>91</v>
      </c>
      <c r="L5" s="4" t="n">
        <v>3</v>
      </c>
      <c r="M5" s="4" t="n">
        <v>2</v>
      </c>
      <c r="N5" s="4" t="n">
        <v>113</v>
      </c>
      <c r="O5" s="4" t="n">
        <v>0</v>
      </c>
      <c r="P5" s="4" t="n">
        <v>0</v>
      </c>
      <c r="Q5" s="4" t="n">
        <v>0</v>
      </c>
      <c r="R5" s="4" t="n">
        <v>0</v>
      </c>
      <c r="S5" s="4">
        <f>SUM(O5:R5)</f>
        <v>0</v>
      </c>
      <c r="T5" s="18">
        <f>J5/L5</f>
        <v>28.2</v>
      </c>
      <c r="U5" s="18">
        <f>S5/G5*1000</f>
        <v>0</v>
      </c>
      <c r="V5" s="4">
        <f>Q5+R5</f>
        <v>0</v>
      </c>
      <c r="W5" s="29">
        <f>100*((J5-MIN($J$2:$J$236))/(MAX($J$2:$J$236)-MIN($J$2:$J$236))+(H5-MIN($H$2:$H$236))/(MAX($H$2:$H$236)-MIN($H$2:$H$236))+(1-(K5-MIN($K$2:$K$236))/(MAX($K$2:$K$236)-MIN($K$2:$K$236))))/3</f>
        <v>23.3774127855859</v>
      </c>
      <c r="X5" s="4" t="n">
        <v>0</v>
      </c>
      <c r="Y5" s="4" t="n">
        <v>0</v>
      </c>
      <c r="Z5" s="4" t="n">
        <v>0</v>
      </c>
      <c r="AA5" s="4" t="inlineStr">
        <is>
          <t>No</t>
        </is>
      </c>
      <c r="AB5" s="4" t="str">
        <f>IF(H5&lt;=Complexity!$C$11,"Q1 (lowest)",IF(H5&lt;=Complexity!$C$12,"Q2",IF(H5&lt;=Complexity!$C$13,"Q3","Q4 (highest)")))</f>
        <v>Q4 (highest)</v>
      </c>
      <c r="AC5" s="4" t="str">
        <f>IF(J5&lt;=Churn!$C$11,"Q1 (lowest)",IF(J5&lt;=Churn!$C$12,"Q2",IF(J5&lt;=Churn!$C$13,"Q3","Q4 (highest)")))</f>
        <v>Q1 (lowest)</v>
      </c>
      <c r="AD5" s="4" t="str">
        <f>IF(K5&lt;=40,"&lt;=40%",IF(K5&lt;=60,"40-60%",IF(K5&lt;=80,"60-80%","80%+")))</f>
        <v>80%+</v>
      </c>
      <c r="AE5" s="4" t="str">
        <f>IF(M5&lt;=2,"1-2",IF(M5&lt;=4,"3-4",IF(M5&lt;=6,"5-6","7+")))</f>
        <v>1-2</v>
      </c>
    </row>
    <row r="6">
      <c r="A6" s="4" t="inlineStr">
        <is>
          <t>api_docs</t>
        </is>
      </c>
      <c r="B6" s="4" t="inlineStr">
        <is>
          <t>API</t>
        </is>
      </c>
      <c r="C6" s="4" t="inlineStr">
        <is>
          <t>Python</t>
        </is>
      </c>
      <c r="D6" s="4" t="inlineStr">
        <is>
          <t>v3.0</t>
        </is>
      </c>
      <c r="E6" s="40" t="n">
        <v>45839</v>
      </c>
      <c r="F6" s="4" t="n">
        <v>5</v>
      </c>
      <c r="G6" s="4" t="n">
        <v>2376</v>
      </c>
      <c r="H6" s="18" t="n">
        <v>10.27</v>
      </c>
      <c r="I6" s="18" t="n">
        <v>10.94</v>
      </c>
      <c r="J6" s="29" t="n">
        <v>1161.8</v>
      </c>
      <c r="K6" s="29" t="n">
        <v>87.40000000000001</v>
      </c>
      <c r="L6" s="4" t="n">
        <v>32</v>
      </c>
      <c r="M6" s="4" t="n">
        <v>8</v>
      </c>
      <c r="N6" s="4" t="n">
        <v>1771</v>
      </c>
      <c r="O6" s="4" t="n">
        <v>1</v>
      </c>
      <c r="P6" s="4" t="n">
        <v>2</v>
      </c>
      <c r="Q6" s="4" t="n">
        <v>0</v>
      </c>
      <c r="R6" s="4" t="n">
        <v>1</v>
      </c>
      <c r="S6" s="4">
        <f>SUM(O6:R6)</f>
        <v>4</v>
      </c>
      <c r="T6" s="18">
        <f>J6/L6</f>
        <v>36.30625</v>
      </c>
      <c r="U6" s="18">
        <f>S6/G6*1000</f>
        <v>1.68350168350168</v>
      </c>
      <c r="V6" s="4">
        <f>Q6+R6</f>
        <v>1</v>
      </c>
      <c r="W6" s="29">
        <f>100*((J6-MIN($J$2:$J$236))/(MAX($J$2:$J$236)-MIN($J$2:$J$236))+(H6-MIN($H$2:$H$236))/(MAX($H$2:$H$236)-MIN($H$2:$H$236))+(1-(K6-MIN($K$2:$K$236))/(MAX($K$2:$K$236)-MIN($K$2:$K$236))))/3</f>
        <v>44.5441795052368</v>
      </c>
      <c r="X6" s="4" t="n">
        <v>0</v>
      </c>
      <c r="Y6" s="4" t="n">
        <v>0</v>
      </c>
      <c r="Z6" s="4" t="n">
        <v>1</v>
      </c>
      <c r="AA6" s="4" t="inlineStr">
        <is>
          <t>No</t>
        </is>
      </c>
      <c r="AB6" s="4" t="str">
        <f>IF(H6&lt;=Complexity!$C$11,"Q1 (lowest)",IF(H6&lt;=Complexity!$C$12,"Q2",IF(H6&lt;=Complexity!$C$13,"Q3","Q4 (highest)")))</f>
        <v>Q1 (lowest)</v>
      </c>
      <c r="AC6" s="4" t="str">
        <f>IF(J6&lt;=Churn!$C$11,"Q1 (lowest)",IF(J6&lt;=Churn!$C$12,"Q2",IF(J6&lt;=Churn!$C$13,"Q3","Q4 (highest)")))</f>
        <v>Q4 (highest)</v>
      </c>
      <c r="AD6" s="4" t="str">
        <f>IF(K6&lt;=40,"&lt;=40%",IF(K6&lt;=60,"40-60%",IF(K6&lt;=80,"60-80%","80%+")))</f>
        <v>80%+</v>
      </c>
      <c r="AE6" s="4" t="str">
        <f>IF(M6&lt;=2,"1-2",IF(M6&lt;=4,"3-4",IF(M6&lt;=6,"5-6","7+")))</f>
        <v>7+</v>
      </c>
    </row>
    <row r="7">
      <c r="A7" s="4" t="inlineStr">
        <is>
          <t>api_gateway</t>
        </is>
      </c>
      <c r="B7" s="4" t="inlineStr">
        <is>
          <t>API</t>
        </is>
      </c>
      <c r="C7" s="4" t="inlineStr">
        <is>
          <t>Java</t>
        </is>
      </c>
      <c r="D7" s="4" t="inlineStr">
        <is>
          <t>v1.0</t>
        </is>
      </c>
      <c r="E7" s="40" t="n">
        <v>45306</v>
      </c>
      <c r="F7" s="4" t="n">
        <v>1</v>
      </c>
      <c r="G7" s="4" t="n">
        <v>2296</v>
      </c>
      <c r="H7" s="18" t="n">
        <v>22.02</v>
      </c>
      <c r="I7" s="18" t="n">
        <v>15.16</v>
      </c>
      <c r="J7" s="29" t="n">
        <v>1249.4</v>
      </c>
      <c r="K7" s="29" t="n">
        <v>37</v>
      </c>
      <c r="L7" s="4" t="n">
        <v>59</v>
      </c>
      <c r="M7" s="4" t="n">
        <v>9</v>
      </c>
      <c r="N7" s="4" t="n">
        <v>1964</v>
      </c>
      <c r="O7" s="4" t="n">
        <v>7</v>
      </c>
      <c r="P7" s="4" t="n">
        <v>3</v>
      </c>
      <c r="Q7" s="4" t="n">
        <v>2</v>
      </c>
      <c r="R7" s="4" t="n">
        <v>3</v>
      </c>
      <c r="S7" s="4">
        <f>SUM(O7:R7)</f>
        <v>15</v>
      </c>
      <c r="T7" s="18">
        <f>J7/L7</f>
        <v>21.1762711864407</v>
      </c>
      <c r="U7" s="18">
        <f>S7/G7*1000</f>
        <v>6.53310104529617</v>
      </c>
      <c r="V7" s="4">
        <f>Q7+R7</f>
        <v>5</v>
      </c>
      <c r="W7" s="29">
        <f>100*((J7-MIN($J$2:$J$236))/(MAX($J$2:$J$236)-MIN($J$2:$J$236))+(H7-MIN($H$2:$H$236))/(MAX($H$2:$H$236)-MIN($H$2:$H$236))+(1-(K7-MIN($K$2:$K$236))/(MAX($K$2:$K$236)-MIN($K$2:$K$236))))/3</f>
        <v>82.4017647349267</v>
      </c>
      <c r="X7" s="4" t="n">
        <v>0</v>
      </c>
      <c r="Y7" s="4" t="n">
        <v>1</v>
      </c>
      <c r="Z7" s="4" t="n">
        <v>1</v>
      </c>
      <c r="AA7" s="4" t="inlineStr">
        <is>
          <t>No</t>
        </is>
      </c>
      <c r="AB7" s="4" t="str">
        <f>IF(H7&lt;=Complexity!$C$11,"Q1 (lowest)",IF(H7&lt;=Complexity!$C$12,"Q2",IF(H7&lt;=Complexity!$C$13,"Q3","Q4 (highest)")))</f>
        <v>Q4 (highest)</v>
      </c>
      <c r="AC7" s="4" t="str">
        <f>IF(J7&lt;=Churn!$C$11,"Q1 (lowest)",IF(J7&lt;=Churn!$C$12,"Q2",IF(J7&lt;=Churn!$C$13,"Q3","Q4 (highest)")))</f>
        <v>Q4 (highest)</v>
      </c>
      <c r="AD7" s="4" t="str">
        <f>IF(K7&lt;=40,"&lt;=40%",IF(K7&lt;=60,"40-60%",IF(K7&lt;=80,"60-80%","80%+")))</f>
        <v>&lt;=40%</v>
      </c>
      <c r="AE7" s="4" t="str">
        <f>IF(M7&lt;=2,"1-2",IF(M7&lt;=4,"3-4",IF(M7&lt;=6,"5-6","7+")))</f>
        <v>7+</v>
      </c>
    </row>
    <row r="8">
      <c r="A8" s="4" t="inlineStr">
        <is>
          <t>api_gateway</t>
        </is>
      </c>
      <c r="B8" s="4" t="inlineStr">
        <is>
          <t>API</t>
        </is>
      </c>
      <c r="C8" s="4" t="inlineStr">
        <is>
          <t>Java</t>
        </is>
      </c>
      <c r="D8" s="4" t="inlineStr">
        <is>
          <t>v1.1</t>
        </is>
      </c>
      <c r="E8" s="40" t="n">
        <v>45432</v>
      </c>
      <c r="F8" s="4" t="n">
        <v>2</v>
      </c>
      <c r="G8" s="4" t="n">
        <v>2296</v>
      </c>
      <c r="H8" s="18" t="n">
        <v>15.56</v>
      </c>
      <c r="I8" s="18" t="n">
        <v>10.71</v>
      </c>
      <c r="J8" s="29" t="n">
        <v>178</v>
      </c>
      <c r="K8" s="29" t="n">
        <v>37.7</v>
      </c>
      <c r="L8" s="4" t="n">
        <v>5</v>
      </c>
      <c r="M8" s="4" t="n">
        <v>2</v>
      </c>
      <c r="N8" s="4" t="n">
        <v>299</v>
      </c>
      <c r="O8" s="4" t="n">
        <v>0</v>
      </c>
      <c r="P8" s="4" t="n">
        <v>1</v>
      </c>
      <c r="Q8" s="4" t="n">
        <v>1</v>
      </c>
      <c r="R8" s="4" t="n">
        <v>0</v>
      </c>
      <c r="S8" s="4">
        <f>SUM(O8:R8)</f>
        <v>2</v>
      </c>
      <c r="T8" s="18">
        <f>J8/L8</f>
        <v>35.6</v>
      </c>
      <c r="U8" s="18">
        <f>S8/G8*1000</f>
        <v>0.871080139372822</v>
      </c>
      <c r="V8" s="4">
        <f>Q8+R8</f>
        <v>1</v>
      </c>
      <c r="W8" s="29">
        <f>100*((J8-MIN($J$2:$J$236))/(MAX($J$2:$J$236)-MIN($J$2:$J$236))+(H8-MIN($H$2:$H$236))/(MAX($H$2:$H$236)-MIN($H$2:$H$236))+(1-(K8-MIN($K$2:$K$236))/(MAX($K$2:$K$236)-MIN($K$2:$K$236))))/3</f>
        <v>45.8480527182527</v>
      </c>
      <c r="X8" s="4" t="n">
        <v>15</v>
      </c>
      <c r="Y8" s="4" t="n">
        <v>1</v>
      </c>
      <c r="Z8" s="4" t="n">
        <v>0</v>
      </c>
      <c r="AA8" s="4" t="inlineStr">
        <is>
          <t>No</t>
        </is>
      </c>
      <c r="AB8" s="4" t="str">
        <f>IF(H8&lt;=Complexity!$C$11,"Q1 (lowest)",IF(H8&lt;=Complexity!$C$12,"Q2",IF(H8&lt;=Complexity!$C$13,"Q3","Q4 (highest)")))</f>
        <v>Q3</v>
      </c>
      <c r="AC8" s="4" t="str">
        <f>IF(J8&lt;=Churn!$C$11,"Q1 (lowest)",IF(J8&lt;=Churn!$C$12,"Q2",IF(J8&lt;=Churn!$C$13,"Q3","Q4 (highest)")))</f>
        <v>Q2</v>
      </c>
      <c r="AD8" s="4" t="str">
        <f>IF(K8&lt;=40,"&lt;=40%",IF(K8&lt;=60,"40-60%",IF(K8&lt;=80,"60-80%","80%+")))</f>
        <v>&lt;=40%</v>
      </c>
      <c r="AE8" s="4" t="str">
        <f>IF(M8&lt;=2,"1-2",IF(M8&lt;=4,"3-4",IF(M8&lt;=6,"5-6","7+")))</f>
        <v>1-2</v>
      </c>
    </row>
    <row r="9">
      <c r="A9" s="4" t="inlineStr">
        <is>
          <t>api_gateway</t>
        </is>
      </c>
      <c r="B9" s="4" t="inlineStr">
        <is>
          <t>API</t>
        </is>
      </c>
      <c r="C9" s="4" t="inlineStr">
        <is>
          <t>Java</t>
        </is>
      </c>
      <c r="D9" s="4" t="inlineStr">
        <is>
          <t>v2.0</t>
        </is>
      </c>
      <c r="E9" s="40" t="n">
        <v>45545</v>
      </c>
      <c r="F9" s="4" t="n">
        <v>3</v>
      </c>
      <c r="G9" s="4" t="n">
        <v>2296</v>
      </c>
      <c r="H9" s="18" t="n">
        <v>23.84</v>
      </c>
      <c r="I9" s="18" t="n">
        <v>16.97</v>
      </c>
      <c r="J9" s="29" t="n">
        <v>568.9</v>
      </c>
      <c r="K9" s="29" t="n">
        <v>44.5</v>
      </c>
      <c r="L9" s="4" t="n">
        <v>18</v>
      </c>
      <c r="M9" s="4" t="n">
        <v>4</v>
      </c>
      <c r="N9" s="4" t="n">
        <v>654</v>
      </c>
      <c r="O9" s="4" t="n">
        <v>2</v>
      </c>
      <c r="P9" s="4" t="n">
        <v>3</v>
      </c>
      <c r="Q9" s="4" t="n">
        <v>1</v>
      </c>
      <c r="R9" s="4" t="n">
        <v>0</v>
      </c>
      <c r="S9" s="4">
        <f>SUM(O9:R9)</f>
        <v>6</v>
      </c>
      <c r="T9" s="18">
        <f>J9/L9</f>
        <v>31.6055555555556</v>
      </c>
      <c r="U9" s="18">
        <f>S9/G9*1000</f>
        <v>2.61324041811847</v>
      </c>
      <c r="V9" s="4">
        <f>Q9+R9</f>
        <v>1</v>
      </c>
      <c r="W9" s="29">
        <f>100*((J9-MIN($J$2:$J$236))/(MAX($J$2:$J$236)-MIN($J$2:$J$236))+(H9-MIN($H$2:$H$236))/(MAX($H$2:$H$236)-MIN($H$2:$H$236))+(1-(K9-MIN($K$2:$K$236))/(MAX($K$2:$K$236)-MIN($K$2:$K$236))))/3</f>
        <v>62.2551912372427</v>
      </c>
      <c r="X9" s="4" t="n">
        <v>2</v>
      </c>
      <c r="Y9" s="4" t="n">
        <v>1</v>
      </c>
      <c r="Z9" s="4" t="n">
        <v>1</v>
      </c>
      <c r="AA9" s="4" t="inlineStr">
        <is>
          <t>No</t>
        </is>
      </c>
      <c r="AB9" s="4" t="str">
        <f>IF(H9&lt;=Complexity!$C$11,"Q1 (lowest)",IF(H9&lt;=Complexity!$C$12,"Q2",IF(H9&lt;=Complexity!$C$13,"Q3","Q4 (highest)")))</f>
        <v>Q4 (highest)</v>
      </c>
      <c r="AC9" s="4" t="str">
        <f>IF(J9&lt;=Churn!$C$11,"Q1 (lowest)",IF(J9&lt;=Churn!$C$12,"Q2",IF(J9&lt;=Churn!$C$13,"Q3","Q4 (highest)")))</f>
        <v>Q4 (highest)</v>
      </c>
      <c r="AD9" s="4" t="str">
        <f>IF(K9&lt;=40,"&lt;=40%",IF(K9&lt;=60,"40-60%",IF(K9&lt;=80,"60-80%","80%+")))</f>
        <v>40-60%</v>
      </c>
      <c r="AE9" s="4" t="str">
        <f>IF(M9&lt;=2,"1-2",IF(M9&lt;=4,"3-4",IF(M9&lt;=6,"5-6","7+")))</f>
        <v>3-4</v>
      </c>
    </row>
    <row r="10">
      <c r="A10" s="4" t="inlineStr">
        <is>
          <t>api_gateway</t>
        </is>
      </c>
      <c r="B10" s="4" t="inlineStr">
        <is>
          <t>API</t>
        </is>
      </c>
      <c r="C10" s="4" t="inlineStr">
        <is>
          <t>Java</t>
        </is>
      </c>
      <c r="D10" s="4" t="inlineStr">
        <is>
          <t>v2.1</t>
        </is>
      </c>
      <c r="E10" s="40" t="n">
        <v>45706</v>
      </c>
      <c r="F10" s="4" t="n">
        <v>4</v>
      </c>
      <c r="G10" s="4" t="n">
        <v>2296</v>
      </c>
      <c r="H10" s="18" t="n">
        <v>19.525</v>
      </c>
      <c r="I10" s="18" t="n">
        <v>12.97</v>
      </c>
      <c r="J10" s="29" t="n">
        <v>114</v>
      </c>
      <c r="K10" s="29" t="n">
        <v>44.9</v>
      </c>
      <c r="L10" s="4" t="n">
        <v>3</v>
      </c>
      <c r="M10" s="4" t="n">
        <v>2</v>
      </c>
      <c r="N10" s="4" t="n">
        <v>127</v>
      </c>
      <c r="O10" s="4" t="n">
        <v>1</v>
      </c>
      <c r="P10" s="4" t="n">
        <v>0</v>
      </c>
      <c r="Q10" s="4" t="n">
        <v>0</v>
      </c>
      <c r="R10" s="4" t="n">
        <v>0</v>
      </c>
      <c r="S10" s="4">
        <f>SUM(O10:R10)</f>
        <v>1</v>
      </c>
      <c r="T10" s="18">
        <f>J10/L10</f>
        <v>38</v>
      </c>
      <c r="U10" s="18">
        <f>S10/G10*1000</f>
        <v>0.435540069686411</v>
      </c>
      <c r="V10" s="4">
        <f>Q10+R10</f>
        <v>0</v>
      </c>
      <c r="W10" s="29">
        <f>100*((J10-MIN($J$2:$J$236))/(MAX($J$2:$J$236)-MIN($J$2:$J$236))+(H10-MIN($H$2:$H$236))/(MAX($H$2:$H$236)-MIN($H$2:$H$236))+(1-(K10-MIN($K$2:$K$236))/(MAX($K$2:$K$236)-MIN($K$2:$K$236))))/3</f>
        <v>45.0191895981138</v>
      </c>
      <c r="X10" s="4" t="n">
        <v>6</v>
      </c>
      <c r="Y10" s="4" t="n">
        <v>1</v>
      </c>
      <c r="Z10" s="4" t="n">
        <v>0</v>
      </c>
      <c r="AA10" s="4" t="inlineStr">
        <is>
          <t>No</t>
        </is>
      </c>
      <c r="AB10" s="4" t="str">
        <f>IF(H10&lt;=Complexity!$C$11,"Q1 (lowest)",IF(H10&lt;=Complexity!$C$12,"Q2",IF(H10&lt;=Complexity!$C$13,"Q3","Q4 (highest)")))</f>
        <v>Q3</v>
      </c>
      <c r="AC10" s="4" t="str">
        <f>IF(J10&lt;=Churn!$C$11,"Q1 (lowest)",IF(J10&lt;=Churn!$C$12,"Q2",IF(J10&lt;=Churn!$C$13,"Q3","Q4 (highest)")))</f>
        <v>Q1 (lowest)</v>
      </c>
      <c r="AD10" s="4" t="str">
        <f>IF(K10&lt;=40,"&lt;=40%",IF(K10&lt;=60,"40-60%",IF(K10&lt;=80,"60-80%","80%+")))</f>
        <v>40-60%</v>
      </c>
      <c r="AE10" s="4" t="str">
        <f>IF(M10&lt;=2,"1-2",IF(M10&lt;=4,"3-4",IF(M10&lt;=6,"5-6","7+")))</f>
        <v>1-2</v>
      </c>
    </row>
    <row r="11">
      <c r="A11" s="4" t="inlineStr">
        <is>
          <t>api_gateway</t>
        </is>
      </c>
      <c r="B11" s="4" t="inlineStr">
        <is>
          <t>API</t>
        </is>
      </c>
      <c r="C11" s="4" t="inlineStr">
        <is>
          <t>Java</t>
        </is>
      </c>
      <c r="D11" s="4" t="inlineStr">
        <is>
          <t>v3.0</t>
        </is>
      </c>
      <c r="E11" s="40" t="n">
        <v>45839</v>
      </c>
      <c r="F11" s="4" t="n">
        <v>5</v>
      </c>
      <c r="G11" s="4" t="n">
        <v>2296</v>
      </c>
      <c r="H11" s="18" t="n">
        <v>17.03</v>
      </c>
      <c r="I11" s="18" t="n">
        <v>10.78</v>
      </c>
      <c r="J11" s="29" t="n">
        <v>455.5</v>
      </c>
      <c r="K11" s="29" t="n">
        <v>41.1</v>
      </c>
      <c r="L11" s="4" t="n">
        <v>16</v>
      </c>
      <c r="M11" s="4" t="n">
        <v>5</v>
      </c>
      <c r="N11" s="4" t="n">
        <v>574</v>
      </c>
      <c r="O11" s="4" t="n">
        <v>3</v>
      </c>
      <c r="P11" s="4" t="n">
        <v>1</v>
      </c>
      <c r="Q11" s="4" t="n">
        <v>1</v>
      </c>
      <c r="R11" s="4" t="n">
        <v>0</v>
      </c>
      <c r="S11" s="4">
        <f>SUM(O11:R11)</f>
        <v>5</v>
      </c>
      <c r="T11" s="18">
        <f>J11/L11</f>
        <v>28.46875</v>
      </c>
      <c r="U11" s="18">
        <f>S11/G11*1000</f>
        <v>2.17770034843206</v>
      </c>
      <c r="V11" s="4">
        <f>Q11+R11</f>
        <v>1</v>
      </c>
      <c r="W11" s="29">
        <f>100*((J11-MIN($J$2:$J$236))/(MAX($J$2:$J$236)-MIN($J$2:$J$236))+(H11-MIN($H$2:$H$236))/(MAX($H$2:$H$236)-MIN($H$2:$H$236))+(1-(K11-MIN($K$2:$K$236))/(MAX($K$2:$K$236)-MIN($K$2:$K$236))))/3</f>
        <v>53.4669597375977</v>
      </c>
      <c r="X11" s="4" t="n">
        <v>1</v>
      </c>
      <c r="Y11" s="4" t="n">
        <v>1</v>
      </c>
      <c r="Z11" s="4" t="n">
        <v>1</v>
      </c>
      <c r="AA11" s="4" t="inlineStr">
        <is>
          <t>No</t>
        </is>
      </c>
      <c r="AB11" s="4" t="str">
        <f>IF(H11&lt;=Complexity!$C$11,"Q1 (lowest)",IF(H11&lt;=Complexity!$C$12,"Q2",IF(H11&lt;=Complexity!$C$13,"Q3","Q4 (highest)")))</f>
        <v>Q3</v>
      </c>
      <c r="AC11" s="4" t="str">
        <f>IF(J11&lt;=Churn!$C$11,"Q1 (lowest)",IF(J11&lt;=Churn!$C$12,"Q2",IF(J11&lt;=Churn!$C$13,"Q3","Q4 (highest)")))</f>
        <v>Q4 (highest)</v>
      </c>
      <c r="AD11" s="4" t="str">
        <f>IF(K11&lt;=40,"&lt;=40%",IF(K11&lt;=60,"40-60%",IF(K11&lt;=80,"60-80%","80%+")))</f>
        <v>40-60%</v>
      </c>
      <c r="AE11" s="4" t="str">
        <f>IF(M11&lt;=2,"1-2",IF(M11&lt;=4,"3-4",IF(M11&lt;=6,"5-6","7+")))</f>
        <v>5-6</v>
      </c>
    </row>
    <row r="12">
      <c r="A12" s="4" t="inlineStr">
        <is>
          <t>api_graphql</t>
        </is>
      </c>
      <c r="B12" s="4" t="inlineStr">
        <is>
          <t>API</t>
        </is>
      </c>
      <c r="C12" s="4" t="inlineStr">
        <is>
          <t>Java</t>
        </is>
      </c>
      <c r="D12" s="4" t="inlineStr">
        <is>
          <t>v1.0</t>
        </is>
      </c>
      <c r="E12" s="40" t="n">
        <v>45306</v>
      </c>
      <c r="F12" s="4" t="n">
        <v>1</v>
      </c>
      <c r="G12" s="4" t="n">
        <v>2080</v>
      </c>
      <c r="H12" s="18" t="n">
        <v>11.04</v>
      </c>
      <c r="I12" s="18" t="n">
        <v>8.789999999999999</v>
      </c>
      <c r="J12" s="29" t="n">
        <v>298.45</v>
      </c>
      <c r="K12" s="29" t="n">
        <v>72.40000000000001</v>
      </c>
      <c r="L12" s="4" t="n">
        <v>7</v>
      </c>
      <c r="M12" s="4" t="n">
        <v>2</v>
      </c>
      <c r="N12" s="4" t="n">
        <v>292</v>
      </c>
      <c r="O12" s="4" t="n">
        <v>0</v>
      </c>
      <c r="P12" s="4" t="n">
        <v>0</v>
      </c>
      <c r="Q12" s="4" t="n">
        <v>0</v>
      </c>
      <c r="R12" s="4" t="n">
        <v>0</v>
      </c>
      <c r="S12" s="4">
        <f>SUM(O12:R12)</f>
        <v>0</v>
      </c>
      <c r="T12" s="18">
        <f>J12/L12</f>
        <v>42.6357142857143</v>
      </c>
      <c r="U12" s="18">
        <f>S12/G12*1000</f>
        <v>0</v>
      </c>
      <c r="V12" s="4">
        <f>Q12+R12</f>
        <v>0</v>
      </c>
      <c r="W12" s="29">
        <f>100*((J12-MIN($J$2:$J$236))/(MAX($J$2:$J$236)-MIN($J$2:$J$236))+(H12-MIN($H$2:$H$236))/(MAX($H$2:$H$236)-MIN($H$2:$H$236))+(1-(K12-MIN($K$2:$K$236))/(MAX($K$2:$K$236)-MIN($K$2:$K$236))))/3</f>
        <v>28.5293018192726</v>
      </c>
      <c r="X12" s="4" t="n">
        <v>0</v>
      </c>
      <c r="Y12" s="4" t="n">
        <v>0</v>
      </c>
      <c r="Z12" s="4" t="n">
        <v>0</v>
      </c>
      <c r="AA12" s="4" t="inlineStr">
        <is>
          <t>No</t>
        </is>
      </c>
      <c r="AB12" s="4" t="str">
        <f>IF(H12&lt;=Complexity!$C$11,"Q1 (lowest)",IF(H12&lt;=Complexity!$C$12,"Q2",IF(H12&lt;=Complexity!$C$13,"Q3","Q4 (highest)")))</f>
        <v>Q2</v>
      </c>
      <c r="AC12" s="4" t="str">
        <f>IF(J12&lt;=Churn!$C$11,"Q1 (lowest)",IF(J12&lt;=Churn!$C$12,"Q2",IF(J12&lt;=Churn!$C$13,"Q3","Q4 (highest)")))</f>
        <v>Q3</v>
      </c>
      <c r="AD12" s="4" t="str">
        <f>IF(K12&lt;=40,"&lt;=40%",IF(K12&lt;=60,"40-60%",IF(K12&lt;=80,"60-80%","80%+")))</f>
        <v>60-80%</v>
      </c>
      <c r="AE12" s="4" t="str">
        <f>IF(M12&lt;=2,"1-2",IF(M12&lt;=4,"3-4",IF(M12&lt;=6,"5-6","7+")))</f>
        <v>1-2</v>
      </c>
    </row>
    <row r="13">
      <c r="A13" s="4" t="inlineStr">
        <is>
          <t>api_graphql</t>
        </is>
      </c>
      <c r="B13" s="4" t="inlineStr">
        <is>
          <t>API</t>
        </is>
      </c>
      <c r="C13" s="4" t="inlineStr">
        <is>
          <t>Java</t>
        </is>
      </c>
      <c r="D13" s="4" t="inlineStr">
        <is>
          <t>v1.1</t>
        </is>
      </c>
      <c r="E13" s="40" t="n">
        <v>45432</v>
      </c>
      <c r="F13" s="4" t="n">
        <v>2</v>
      </c>
      <c r="G13" s="4" t="n">
        <v>2080</v>
      </c>
      <c r="H13" s="18" t="n">
        <v>12.64</v>
      </c>
      <c r="I13" s="18" t="n">
        <v>5.9</v>
      </c>
      <c r="J13" s="29" t="n">
        <v>300.3</v>
      </c>
      <c r="K13" s="29" t="n">
        <v>76.8</v>
      </c>
      <c r="L13" s="4" t="n">
        <v>11</v>
      </c>
      <c r="M13" s="4" t="n">
        <v>4</v>
      </c>
      <c r="N13" s="4" t="n">
        <v>409</v>
      </c>
      <c r="O13" s="4" t="n">
        <v>0</v>
      </c>
      <c r="P13" s="4" t="n">
        <v>0</v>
      </c>
      <c r="Q13" s="4" t="n">
        <v>0</v>
      </c>
      <c r="R13" s="4" t="n">
        <v>0</v>
      </c>
      <c r="S13" s="4">
        <f>SUM(O13:R13)</f>
        <v>0</v>
      </c>
      <c r="T13" s="18">
        <f>J13/L13</f>
        <v>27.3</v>
      </c>
      <c r="U13" s="18">
        <f>S13/G13*1000</f>
        <v>0</v>
      </c>
      <c r="V13" s="4">
        <f>Q13+R13</f>
        <v>0</v>
      </c>
      <c r="W13" s="29">
        <f>100*((J13-MIN($J$2:$J$236))/(MAX($J$2:$J$236)-MIN($J$2:$J$236))+(H13-MIN($H$2:$H$236))/(MAX($H$2:$H$236)-MIN($H$2:$H$236))+(1-(K13-MIN($K$2:$K$236))/(MAX($K$2:$K$236)-MIN($K$2:$K$236))))/3</f>
        <v>28.2721569045162</v>
      </c>
      <c r="X13" s="4" t="n">
        <v>0</v>
      </c>
      <c r="Y13" s="4" t="n">
        <v>0</v>
      </c>
      <c r="Z13" s="4" t="n">
        <v>0</v>
      </c>
      <c r="AA13" s="4" t="inlineStr">
        <is>
          <t>No</t>
        </is>
      </c>
      <c r="AB13" s="4" t="str">
        <f>IF(H13&lt;=Complexity!$C$11,"Q1 (lowest)",IF(H13&lt;=Complexity!$C$12,"Q2",IF(H13&lt;=Complexity!$C$13,"Q3","Q4 (highest)")))</f>
        <v>Q2</v>
      </c>
      <c r="AC13" s="4" t="str">
        <f>IF(J13&lt;=Churn!$C$11,"Q1 (lowest)",IF(J13&lt;=Churn!$C$12,"Q2",IF(J13&lt;=Churn!$C$13,"Q3","Q4 (highest)")))</f>
        <v>Q3</v>
      </c>
      <c r="AD13" s="4" t="str">
        <f>IF(K13&lt;=40,"&lt;=40%",IF(K13&lt;=60,"40-60%",IF(K13&lt;=80,"60-80%","80%+")))</f>
        <v>60-80%</v>
      </c>
      <c r="AE13" s="4" t="str">
        <f>IF(M13&lt;=2,"1-2",IF(M13&lt;=4,"3-4",IF(M13&lt;=6,"5-6","7+")))</f>
        <v>3-4</v>
      </c>
    </row>
    <row r="14">
      <c r="A14" s="4" t="inlineStr">
        <is>
          <t>api_graphql</t>
        </is>
      </c>
      <c r="B14" s="4" t="inlineStr">
        <is>
          <t>API</t>
        </is>
      </c>
      <c r="C14" s="4" t="inlineStr">
        <is>
          <t>Java</t>
        </is>
      </c>
      <c r="D14" s="4" t="inlineStr">
        <is>
          <t>v2.0</t>
        </is>
      </c>
      <c r="E14" s="40" t="n">
        <v>45545</v>
      </c>
      <c r="F14" s="4" t="n">
        <v>3</v>
      </c>
      <c r="G14" s="4" t="n">
        <v>2080</v>
      </c>
      <c r="H14" s="18" t="n">
        <v>7.97</v>
      </c>
      <c r="I14" s="18" t="n">
        <v>7.01</v>
      </c>
      <c r="J14" s="29" t="n">
        <v>296.6</v>
      </c>
      <c r="K14" s="29" t="n">
        <v>69</v>
      </c>
      <c r="L14" s="4" t="n">
        <v>14</v>
      </c>
      <c r="M14" s="4" t="n">
        <v>5</v>
      </c>
      <c r="N14" s="4" t="n">
        <v>521</v>
      </c>
      <c r="O14" s="4" t="n">
        <v>0</v>
      </c>
      <c r="P14" s="4" t="n">
        <v>0</v>
      </c>
      <c r="Q14" s="4" t="n">
        <v>0</v>
      </c>
      <c r="R14" s="4" t="n">
        <v>0</v>
      </c>
      <c r="S14" s="4">
        <f>SUM(O14:R14)</f>
        <v>0</v>
      </c>
      <c r="T14" s="18">
        <f>J14/L14</f>
        <v>21.1857142857143</v>
      </c>
      <c r="U14" s="18">
        <f>S14/G14*1000</f>
        <v>0</v>
      </c>
      <c r="V14" s="4">
        <f>Q14+R14</f>
        <v>0</v>
      </c>
      <c r="W14" s="29">
        <f>100*((J14-MIN($J$2:$J$236))/(MAX($J$2:$J$236)-MIN($J$2:$J$236))+(H14-MIN($H$2:$H$236))/(MAX($H$2:$H$236)-MIN($H$2:$H$236))+(1-(K14-MIN($K$2:$K$236))/(MAX($K$2:$K$236)-MIN($K$2:$K$236))))/3</f>
        <v>26.7699408278597</v>
      </c>
      <c r="X14" s="4" t="n">
        <v>0</v>
      </c>
      <c r="Y14" s="4" t="n">
        <v>0</v>
      </c>
      <c r="Z14" s="4" t="n">
        <v>0</v>
      </c>
      <c r="AA14" s="4" t="inlineStr">
        <is>
          <t>No</t>
        </is>
      </c>
      <c r="AB14" s="4" t="str">
        <f>IF(H14&lt;=Complexity!$C$11,"Q1 (lowest)",IF(H14&lt;=Complexity!$C$12,"Q2",IF(H14&lt;=Complexity!$C$13,"Q3","Q4 (highest)")))</f>
        <v>Q1 (lowest)</v>
      </c>
      <c r="AC14" s="4" t="str">
        <f>IF(J14&lt;=Churn!$C$11,"Q1 (lowest)",IF(J14&lt;=Churn!$C$12,"Q2",IF(J14&lt;=Churn!$C$13,"Q3","Q4 (highest)")))</f>
        <v>Q3</v>
      </c>
      <c r="AD14" s="4" t="str">
        <f>IF(K14&lt;=40,"&lt;=40%",IF(K14&lt;=60,"40-60%",IF(K14&lt;=80,"60-80%","80%+")))</f>
        <v>60-80%</v>
      </c>
      <c r="AE14" s="4" t="str">
        <f>IF(M14&lt;=2,"1-2",IF(M14&lt;=4,"3-4",IF(M14&lt;=6,"5-6","7+")))</f>
        <v>5-6</v>
      </c>
    </row>
    <row r="15">
      <c r="A15" s="4" t="inlineStr">
        <is>
          <t>api_graphql</t>
        </is>
      </c>
      <c r="B15" s="4" t="inlineStr">
        <is>
          <t>API</t>
        </is>
      </c>
      <c r="C15" s="4" t="inlineStr">
        <is>
          <t>Java</t>
        </is>
      </c>
      <c r="D15" s="4" t="inlineStr">
        <is>
          <t>v2.1</t>
        </is>
      </c>
      <c r="E15" s="40" t="n">
        <v>45706</v>
      </c>
      <c r="F15" s="4" t="n">
        <v>4</v>
      </c>
      <c r="G15" s="4" t="n">
        <v>2080</v>
      </c>
      <c r="H15" s="18" t="n">
        <v>13.22</v>
      </c>
      <c r="I15" s="18" t="n">
        <v>10.13</v>
      </c>
      <c r="J15" s="29" t="n">
        <v>335.6</v>
      </c>
      <c r="K15" s="29" t="n">
        <v>73.3</v>
      </c>
      <c r="L15" s="4" t="n">
        <v>8</v>
      </c>
      <c r="M15" s="4" t="n">
        <v>4</v>
      </c>
      <c r="N15" s="4" t="n">
        <v>379</v>
      </c>
      <c r="O15" s="4" t="n">
        <v>0</v>
      </c>
      <c r="P15" s="4" t="n">
        <v>0</v>
      </c>
      <c r="Q15" s="4" t="n">
        <v>0</v>
      </c>
      <c r="R15" s="4" t="n">
        <v>0</v>
      </c>
      <c r="S15" s="4">
        <f>SUM(O15:R15)</f>
        <v>0</v>
      </c>
      <c r="T15" s="18">
        <f>J15/L15</f>
        <v>41.95</v>
      </c>
      <c r="U15" s="18">
        <f>S15/G15*1000</f>
        <v>0</v>
      </c>
      <c r="V15" s="4">
        <f>Q15+R15</f>
        <v>0</v>
      </c>
      <c r="W15" s="29">
        <f>100*((J15-MIN($J$2:$J$236))/(MAX($J$2:$J$236)-MIN($J$2:$J$236))+(H15-MIN($H$2:$H$236))/(MAX($H$2:$H$236)-MIN($H$2:$H$236))+(1-(K15-MIN($K$2:$K$236))/(MAX($K$2:$K$236)-MIN($K$2:$K$236))))/3</f>
        <v>31.4517476872625</v>
      </c>
      <c r="X15" s="4" t="n">
        <v>0</v>
      </c>
      <c r="Y15" s="4" t="n">
        <v>0</v>
      </c>
      <c r="Z15" s="4" t="n">
        <v>0</v>
      </c>
      <c r="AA15" s="4" t="inlineStr">
        <is>
          <t>No</t>
        </is>
      </c>
      <c r="AB15" s="4" t="str">
        <f>IF(H15&lt;=Complexity!$C$11,"Q1 (lowest)",IF(H15&lt;=Complexity!$C$12,"Q2",IF(H15&lt;=Complexity!$C$13,"Q3","Q4 (highest)")))</f>
        <v>Q2</v>
      </c>
      <c r="AC15" s="4" t="str">
        <f>IF(J15&lt;=Churn!$C$11,"Q1 (lowest)",IF(J15&lt;=Churn!$C$12,"Q2",IF(J15&lt;=Churn!$C$13,"Q3","Q4 (highest)")))</f>
        <v>Q3</v>
      </c>
      <c r="AD15" s="4" t="str">
        <f>IF(K15&lt;=40,"&lt;=40%",IF(K15&lt;=60,"40-60%",IF(K15&lt;=80,"60-80%","80%+")))</f>
        <v>60-80%</v>
      </c>
      <c r="AE15" s="4" t="str">
        <f>IF(M15&lt;=2,"1-2",IF(M15&lt;=4,"3-4",IF(M15&lt;=6,"5-6","7+")))</f>
        <v>3-4</v>
      </c>
    </row>
    <row r="16">
      <c r="A16" s="4" t="inlineStr">
        <is>
          <t>api_graphql</t>
        </is>
      </c>
      <c r="B16" s="4" t="inlineStr">
        <is>
          <t>API</t>
        </is>
      </c>
      <c r="C16" s="4" t="inlineStr">
        <is>
          <t>Java</t>
        </is>
      </c>
      <c r="D16" s="4" t="inlineStr">
        <is>
          <t>v3.0</t>
        </is>
      </c>
      <c r="E16" s="40" t="n">
        <v>45839</v>
      </c>
      <c r="F16" s="4" t="n">
        <v>5</v>
      </c>
      <c r="G16" s="4" t="n">
        <v>2080</v>
      </c>
      <c r="H16" s="18" t="n">
        <v>11.63</v>
      </c>
      <c r="I16" s="18" t="n">
        <v>9.74</v>
      </c>
      <c r="J16" s="29" t="n">
        <v>243.7</v>
      </c>
      <c r="K16" s="29" t="n">
        <v>81</v>
      </c>
      <c r="L16" s="4" t="n">
        <v>9</v>
      </c>
      <c r="M16" s="4" t="n">
        <v>3</v>
      </c>
      <c r="N16" s="4" t="n">
        <v>434</v>
      </c>
      <c r="O16" s="4" t="n">
        <v>0</v>
      </c>
      <c r="P16" s="4" t="n">
        <v>0</v>
      </c>
      <c r="Q16" s="4" t="n">
        <v>0</v>
      </c>
      <c r="R16" s="4" t="n">
        <v>0</v>
      </c>
      <c r="S16" s="4">
        <f>SUM(O16:R16)</f>
        <v>0</v>
      </c>
      <c r="T16" s="18">
        <f>J16/L16</f>
        <v>27.0777777777778</v>
      </c>
      <c r="U16" s="18">
        <f>S16/G16*1000</f>
        <v>0</v>
      </c>
      <c r="V16" s="4">
        <f>Q16+R16</f>
        <v>0</v>
      </c>
      <c r="W16" s="29">
        <f>100*((J16-MIN($J$2:$J$236))/(MAX($J$2:$J$236)-MIN($J$2:$J$236))+(H16-MIN($H$2:$H$236))/(MAX($H$2:$H$236)-MIN($H$2:$H$236))+(1-(K16-MIN($K$2:$K$236))/(MAX($K$2:$K$236)-MIN($K$2:$K$236))))/3</f>
        <v>23.732867427259</v>
      </c>
      <c r="X16" s="4" t="n">
        <v>0</v>
      </c>
      <c r="Y16" s="4" t="n">
        <v>0</v>
      </c>
      <c r="Z16" s="4" t="n">
        <v>0</v>
      </c>
      <c r="AA16" s="4" t="inlineStr">
        <is>
          <t>No</t>
        </is>
      </c>
      <c r="AB16" s="4" t="str">
        <f>IF(H16&lt;=Complexity!$C$11,"Q1 (lowest)",IF(H16&lt;=Complexity!$C$12,"Q2",IF(H16&lt;=Complexity!$C$13,"Q3","Q4 (highest)")))</f>
        <v>Q2</v>
      </c>
      <c r="AC16" s="4" t="str">
        <f>IF(J16&lt;=Churn!$C$11,"Q1 (lowest)",IF(J16&lt;=Churn!$C$12,"Q2",IF(J16&lt;=Churn!$C$13,"Q3","Q4 (highest)")))</f>
        <v>Q2</v>
      </c>
      <c r="AD16" s="4" t="str">
        <f>IF(K16&lt;=40,"&lt;=40%",IF(K16&lt;=60,"40-60%",IF(K16&lt;=80,"60-80%","80%+")))</f>
        <v>80%+</v>
      </c>
      <c r="AE16" s="4" t="str">
        <f>IF(M16&lt;=2,"1-2",IF(M16&lt;=4,"3-4",IF(M16&lt;=6,"5-6","7+")))</f>
        <v>3-4</v>
      </c>
    </row>
    <row r="17">
      <c r="A17" s="4" t="inlineStr">
        <is>
          <t>api_ratelimit</t>
        </is>
      </c>
      <c r="B17" s="4" t="inlineStr">
        <is>
          <t>API</t>
        </is>
      </c>
      <c r="C17" s="4" t="inlineStr">
        <is>
          <t>Java</t>
        </is>
      </c>
      <c r="D17" s="4" t="inlineStr">
        <is>
          <t>v1.0</t>
        </is>
      </c>
      <c r="E17" s="40" t="n">
        <v>45306</v>
      </c>
      <c r="F17" s="4" t="n">
        <v>1</v>
      </c>
      <c r="G17" s="4" t="n">
        <v>2143</v>
      </c>
      <c r="H17" s="18" t="n">
        <v>15.88</v>
      </c>
      <c r="I17" s="18" t="n">
        <v>10.22</v>
      </c>
      <c r="J17" s="29" t="n">
        <v>395.9</v>
      </c>
      <c r="K17" s="29" t="n">
        <v>70.8</v>
      </c>
      <c r="L17" s="4" t="n">
        <v>12</v>
      </c>
      <c r="M17" s="4" t="n">
        <v>5</v>
      </c>
      <c r="N17" s="4" t="n">
        <v>694</v>
      </c>
      <c r="O17" s="4" t="n">
        <v>0</v>
      </c>
      <c r="P17" s="4" t="n">
        <v>0</v>
      </c>
      <c r="Q17" s="4" t="n">
        <v>0</v>
      </c>
      <c r="R17" s="4" t="n">
        <v>0</v>
      </c>
      <c r="S17" s="4">
        <f>SUM(O17:R17)</f>
        <v>0</v>
      </c>
      <c r="T17" s="18">
        <f>J17/L17</f>
        <v>32.9916666666667</v>
      </c>
      <c r="U17" s="18">
        <f>S17/G17*1000</f>
        <v>0</v>
      </c>
      <c r="V17" s="4">
        <f>Q17+R17</f>
        <v>0</v>
      </c>
      <c r="W17" s="29">
        <f>100*((J17-MIN($J$2:$J$236))/(MAX($J$2:$J$236)-MIN($J$2:$J$236))+(H17-MIN($H$2:$H$236))/(MAX($H$2:$H$236)-MIN($H$2:$H$236))+(1-(K17-MIN($K$2:$K$236))/(MAX($K$2:$K$236)-MIN($K$2:$K$236))))/3</f>
        <v>37.0688861902527</v>
      </c>
      <c r="X17" s="4" t="n">
        <v>0</v>
      </c>
      <c r="Y17" s="4" t="n">
        <v>0</v>
      </c>
      <c r="Z17" s="4" t="n">
        <v>0</v>
      </c>
      <c r="AA17" s="4" t="inlineStr">
        <is>
          <t>No</t>
        </is>
      </c>
      <c r="AB17" s="4" t="str">
        <f>IF(H17&lt;=Complexity!$C$11,"Q1 (lowest)",IF(H17&lt;=Complexity!$C$12,"Q2",IF(H17&lt;=Complexity!$C$13,"Q3","Q4 (highest)")))</f>
        <v>Q3</v>
      </c>
      <c r="AC17" s="4" t="str">
        <f>IF(J17&lt;=Churn!$C$11,"Q1 (lowest)",IF(J17&lt;=Churn!$C$12,"Q2",IF(J17&lt;=Churn!$C$13,"Q3","Q4 (highest)")))</f>
        <v>Q3</v>
      </c>
      <c r="AD17" s="4" t="str">
        <f>IF(K17&lt;=40,"&lt;=40%",IF(K17&lt;=60,"40-60%",IF(K17&lt;=80,"60-80%","80%+")))</f>
        <v>60-80%</v>
      </c>
      <c r="AE17" s="4" t="str">
        <f>IF(M17&lt;=2,"1-2",IF(M17&lt;=4,"3-4",IF(M17&lt;=6,"5-6","7+")))</f>
        <v>5-6</v>
      </c>
    </row>
    <row r="18">
      <c r="A18" s="4" t="inlineStr">
        <is>
          <t>api_ratelimit</t>
        </is>
      </c>
      <c r="B18" s="4" t="inlineStr">
        <is>
          <t>API</t>
        </is>
      </c>
      <c r="C18" s="4" t="inlineStr">
        <is>
          <t>Java</t>
        </is>
      </c>
      <c r="D18" s="4" t="inlineStr">
        <is>
          <t>v1.1</t>
        </is>
      </c>
      <c r="E18" s="40" t="n">
        <v>45432</v>
      </c>
      <c r="F18" s="4" t="n">
        <v>2</v>
      </c>
      <c r="G18" s="4" t="n">
        <v>2143</v>
      </c>
      <c r="H18" s="18" t="n">
        <v>17.3</v>
      </c>
      <c r="I18" s="18" t="n">
        <v>10.03</v>
      </c>
      <c r="J18" s="29" t="n">
        <v>398.1</v>
      </c>
      <c r="K18" s="29" t="n">
        <v>77.3</v>
      </c>
      <c r="L18" s="4" t="n">
        <v>10</v>
      </c>
      <c r="M18" s="4" t="n">
        <v>4</v>
      </c>
      <c r="N18" s="4" t="n">
        <v>660</v>
      </c>
      <c r="O18" s="4" t="n">
        <v>0</v>
      </c>
      <c r="P18" s="4" t="n">
        <v>0</v>
      </c>
      <c r="Q18" s="4" t="n">
        <v>0</v>
      </c>
      <c r="R18" s="4" t="n">
        <v>0</v>
      </c>
      <c r="S18" s="4">
        <f>SUM(O18:R18)</f>
        <v>0</v>
      </c>
      <c r="T18" s="18">
        <f>J18/L18</f>
        <v>39.81</v>
      </c>
      <c r="U18" s="18">
        <f>S18/G18*1000</f>
        <v>0</v>
      </c>
      <c r="V18" s="4">
        <f>Q18+R18</f>
        <v>0</v>
      </c>
      <c r="W18" s="29">
        <f>100*((J18-MIN($J$2:$J$236))/(MAX($J$2:$J$236)-MIN($J$2:$J$236))+(H18-MIN($H$2:$H$236))/(MAX($H$2:$H$236)-MIN($H$2:$H$236))+(1-(K18-MIN($K$2:$K$236))/(MAX($K$2:$K$236)-MIN($K$2:$K$236))))/3</f>
        <v>35.6726627995313</v>
      </c>
      <c r="X18" s="4" t="n">
        <v>0</v>
      </c>
      <c r="Y18" s="4" t="n">
        <v>0</v>
      </c>
      <c r="Z18" s="4" t="n">
        <v>0</v>
      </c>
      <c r="AA18" s="4" t="inlineStr">
        <is>
          <t>No</t>
        </is>
      </c>
      <c r="AB18" s="4" t="str">
        <f>IF(H18&lt;=Complexity!$C$11,"Q1 (lowest)",IF(H18&lt;=Complexity!$C$12,"Q2",IF(H18&lt;=Complexity!$C$13,"Q3","Q4 (highest)")))</f>
        <v>Q3</v>
      </c>
      <c r="AC18" s="4" t="str">
        <f>IF(J18&lt;=Churn!$C$11,"Q1 (lowest)",IF(J18&lt;=Churn!$C$12,"Q2",IF(J18&lt;=Churn!$C$13,"Q3","Q4 (highest)")))</f>
        <v>Q4 (highest)</v>
      </c>
      <c r="AD18" s="4" t="str">
        <f>IF(K18&lt;=40,"&lt;=40%",IF(K18&lt;=60,"40-60%",IF(K18&lt;=80,"60-80%","80%+")))</f>
        <v>60-80%</v>
      </c>
      <c r="AE18" s="4" t="str">
        <f>IF(M18&lt;=2,"1-2",IF(M18&lt;=4,"3-4",IF(M18&lt;=6,"5-6","7+")))</f>
        <v>3-4</v>
      </c>
    </row>
    <row r="19">
      <c r="A19" s="4" t="inlineStr">
        <is>
          <t>api_ratelimit</t>
        </is>
      </c>
      <c r="B19" s="4" t="inlineStr">
        <is>
          <t>API</t>
        </is>
      </c>
      <c r="C19" s="4" t="inlineStr">
        <is>
          <t>Java</t>
        </is>
      </c>
      <c r="D19" s="4" t="inlineStr">
        <is>
          <t>v2.0</t>
        </is>
      </c>
      <c r="E19" s="40" t="n">
        <v>45545</v>
      </c>
      <c r="F19" s="4" t="n">
        <v>3</v>
      </c>
      <c r="G19" s="4" t="n">
        <v>2143</v>
      </c>
      <c r="H19" s="18" t="n">
        <v>12.02</v>
      </c>
      <c r="I19" s="18" t="n">
        <v>10.24</v>
      </c>
      <c r="J19" s="29" t="n">
        <v>376.2</v>
      </c>
      <c r="K19" s="29" t="n">
        <v>69.2</v>
      </c>
      <c r="L19" s="4" t="n">
        <v>13</v>
      </c>
      <c r="M19" s="4" t="n">
        <v>4</v>
      </c>
      <c r="N19" s="4" t="n">
        <v>501</v>
      </c>
      <c r="O19" s="4" t="n">
        <v>0</v>
      </c>
      <c r="P19" s="4" t="n">
        <v>0</v>
      </c>
      <c r="Q19" s="4" t="n">
        <v>0</v>
      </c>
      <c r="R19" s="4" t="n">
        <v>0</v>
      </c>
      <c r="S19" s="4">
        <f>SUM(O19:R19)</f>
        <v>0</v>
      </c>
      <c r="T19" s="18">
        <f>J19/L19</f>
        <v>28.9384615384615</v>
      </c>
      <c r="U19" s="18">
        <f>S19/G19*1000</f>
        <v>0</v>
      </c>
      <c r="V19" s="4">
        <f>Q19+R19</f>
        <v>0</v>
      </c>
      <c r="W19" s="29">
        <f>100*((J19-MIN($J$2:$J$236))/(MAX($J$2:$J$236)-MIN($J$2:$J$236))+(H19-MIN($H$2:$H$236))/(MAX($H$2:$H$236)-MIN($H$2:$H$236))+(1-(K19-MIN($K$2:$K$236))/(MAX($K$2:$K$236)-MIN($K$2:$K$236))))/3</f>
        <v>33.1606606181787</v>
      </c>
      <c r="X19" s="4" t="n">
        <v>0</v>
      </c>
      <c r="Y19" s="4" t="n">
        <v>0</v>
      </c>
      <c r="Z19" s="4" t="n">
        <v>0</v>
      </c>
      <c r="AA19" s="4" t="inlineStr">
        <is>
          <t>No</t>
        </is>
      </c>
      <c r="AB19" s="4" t="str">
        <f>IF(H19&lt;=Complexity!$C$11,"Q1 (lowest)",IF(H19&lt;=Complexity!$C$12,"Q2",IF(H19&lt;=Complexity!$C$13,"Q3","Q4 (highest)")))</f>
        <v>Q2</v>
      </c>
      <c r="AC19" s="4" t="str">
        <f>IF(J19&lt;=Churn!$C$11,"Q1 (lowest)",IF(J19&lt;=Churn!$C$12,"Q2",IF(J19&lt;=Churn!$C$13,"Q3","Q4 (highest)")))</f>
        <v>Q3</v>
      </c>
      <c r="AD19" s="4" t="str">
        <f>IF(K19&lt;=40,"&lt;=40%",IF(K19&lt;=60,"40-60%",IF(K19&lt;=80,"60-80%","80%+")))</f>
        <v>60-80%</v>
      </c>
      <c r="AE19" s="4" t="str">
        <f>IF(M19&lt;=2,"1-2",IF(M19&lt;=4,"3-4",IF(M19&lt;=6,"5-6","7+")))</f>
        <v>3-4</v>
      </c>
    </row>
    <row r="20">
      <c r="A20" s="4" t="inlineStr">
        <is>
          <t>api_ratelimit</t>
        </is>
      </c>
      <c r="B20" s="4" t="inlineStr">
        <is>
          <t>API</t>
        </is>
      </c>
      <c r="C20" s="4" t="inlineStr">
        <is>
          <t>Java</t>
        </is>
      </c>
      <c r="D20" s="4" t="inlineStr">
        <is>
          <t>v2.1</t>
        </is>
      </c>
      <c r="E20" s="40" t="n">
        <v>45706</v>
      </c>
      <c r="F20" s="4" t="n">
        <v>4</v>
      </c>
      <c r="G20" s="4" t="n">
        <v>2143</v>
      </c>
      <c r="H20" s="18" t="n">
        <v>15.4</v>
      </c>
      <c r="I20" s="18" t="n">
        <v>12.69</v>
      </c>
      <c r="J20" s="29" t="n">
        <v>75.09999999999999</v>
      </c>
      <c r="K20" s="29" t="n">
        <v>55.7</v>
      </c>
      <c r="L20" s="4" t="n">
        <v>2</v>
      </c>
      <c r="M20" s="4" t="n">
        <v>2</v>
      </c>
      <c r="N20" s="4" t="n">
        <v>83</v>
      </c>
      <c r="O20" s="4" t="n">
        <v>0</v>
      </c>
      <c r="P20" s="4" t="n">
        <v>0</v>
      </c>
      <c r="Q20" s="4" t="n">
        <v>0</v>
      </c>
      <c r="R20" s="4" t="n">
        <v>0</v>
      </c>
      <c r="S20" s="4">
        <f>SUM(O20:R20)</f>
        <v>0</v>
      </c>
      <c r="T20" s="18">
        <f>J20/L20</f>
        <v>37.55</v>
      </c>
      <c r="U20" s="18">
        <f>S20/G20*1000</f>
        <v>0</v>
      </c>
      <c r="V20" s="4">
        <f>Q20+R20</f>
        <v>0</v>
      </c>
      <c r="W20" s="29">
        <f>100*((J20-MIN($J$2:$J$236))/(MAX($J$2:$J$236)-MIN($J$2:$J$236))+(H20-MIN($H$2:$H$236))/(MAX($H$2:$H$236)-MIN($H$2:$H$236))+(1-(K20-MIN($K$2:$K$236))/(MAX($K$2:$K$236)-MIN($K$2:$K$236))))/3</f>
        <v>34.6488472435209</v>
      </c>
      <c r="X20" s="4" t="n">
        <v>0</v>
      </c>
      <c r="Y20" s="4" t="n">
        <v>0</v>
      </c>
      <c r="Z20" s="4" t="n">
        <v>0</v>
      </c>
      <c r="AA20" s="4" t="inlineStr">
        <is>
          <t>No</t>
        </is>
      </c>
      <c r="AB20" s="4" t="str">
        <f>IF(H20&lt;=Complexity!$C$11,"Q1 (lowest)",IF(H20&lt;=Complexity!$C$12,"Q2",IF(H20&lt;=Complexity!$C$13,"Q3","Q4 (highest)")))</f>
        <v>Q3</v>
      </c>
      <c r="AC20" s="4" t="str">
        <f>IF(J20&lt;=Churn!$C$11,"Q1 (lowest)",IF(J20&lt;=Churn!$C$12,"Q2",IF(J20&lt;=Churn!$C$13,"Q3","Q4 (highest)")))</f>
        <v>Q1 (lowest)</v>
      </c>
      <c r="AD20" s="4" t="str">
        <f>IF(K20&lt;=40,"&lt;=40%",IF(K20&lt;=60,"40-60%",IF(K20&lt;=80,"60-80%","80%+")))</f>
        <v>40-60%</v>
      </c>
      <c r="AE20" s="4" t="str">
        <f>IF(M20&lt;=2,"1-2",IF(M20&lt;=4,"3-4",IF(M20&lt;=6,"5-6","7+")))</f>
        <v>1-2</v>
      </c>
    </row>
    <row r="21">
      <c r="A21" s="4" t="inlineStr">
        <is>
          <t>api_ratelimit</t>
        </is>
      </c>
      <c r="B21" s="4" t="inlineStr">
        <is>
          <t>API</t>
        </is>
      </c>
      <c r="C21" s="4" t="inlineStr">
        <is>
          <t>Java</t>
        </is>
      </c>
      <c r="D21" s="4" t="inlineStr">
        <is>
          <t>v3.0</t>
        </is>
      </c>
      <c r="E21" s="40" t="n">
        <v>45839</v>
      </c>
      <c r="F21" s="4" t="n">
        <v>5</v>
      </c>
      <c r="G21" s="4" t="n">
        <v>2143</v>
      </c>
      <c r="H21" s="18" t="n">
        <v>13.44</v>
      </c>
      <c r="I21" s="18" t="n">
        <v>10.51</v>
      </c>
      <c r="J21" s="29" t="n">
        <v>210.6</v>
      </c>
      <c r="K21" s="29" t="n">
        <v>70.8</v>
      </c>
      <c r="L21" s="4" t="n">
        <v>6</v>
      </c>
      <c r="M21" s="4" t="n">
        <v>2</v>
      </c>
      <c r="N21" s="4" t="n">
        <v>356</v>
      </c>
      <c r="O21" s="4" t="n">
        <v>0</v>
      </c>
      <c r="P21" s="4" t="n">
        <v>0</v>
      </c>
      <c r="Q21" s="4" t="n">
        <v>0</v>
      </c>
      <c r="R21" s="4" t="n">
        <v>0</v>
      </c>
      <c r="S21" s="4">
        <f>SUM(O21:R21)</f>
        <v>0</v>
      </c>
      <c r="T21" s="18">
        <f>J21/L21</f>
        <v>35.1</v>
      </c>
      <c r="U21" s="18">
        <f>S21/G21*1000</f>
        <v>0</v>
      </c>
      <c r="V21" s="4">
        <f>Q21+R21</f>
        <v>0</v>
      </c>
      <c r="W21" s="29">
        <f>100*((J21-MIN($J$2:$J$236))/(MAX($J$2:$J$236)-MIN($J$2:$J$236))+(H21-MIN($H$2:$H$236))/(MAX($H$2:$H$236)-MIN($H$2:$H$236))+(1-(K21-MIN($K$2:$K$236))/(MAX($K$2:$K$236)-MIN($K$2:$K$236))))/3</f>
        <v>29.3979035562883</v>
      </c>
      <c r="X21" s="4" t="n">
        <v>0</v>
      </c>
      <c r="Y21" s="4" t="n">
        <v>0</v>
      </c>
      <c r="Z21" s="4" t="n">
        <v>0</v>
      </c>
      <c r="AA21" s="4" t="inlineStr">
        <is>
          <t>No</t>
        </is>
      </c>
      <c r="AB21" s="4" t="str">
        <f>IF(H21&lt;=Complexity!$C$11,"Q1 (lowest)",IF(H21&lt;=Complexity!$C$12,"Q2",IF(H21&lt;=Complexity!$C$13,"Q3","Q4 (highest)")))</f>
        <v>Q2</v>
      </c>
      <c r="AC21" s="4" t="str">
        <f>IF(J21&lt;=Churn!$C$11,"Q1 (lowest)",IF(J21&lt;=Churn!$C$12,"Q2",IF(J21&lt;=Churn!$C$13,"Q3","Q4 (highest)")))</f>
        <v>Q2</v>
      </c>
      <c r="AD21" s="4" t="str">
        <f>IF(K21&lt;=40,"&lt;=40%",IF(K21&lt;=60,"40-60%",IF(K21&lt;=80,"60-80%","80%+")))</f>
        <v>60-80%</v>
      </c>
      <c r="AE21" s="4" t="str">
        <f>IF(M21&lt;=2,"1-2",IF(M21&lt;=4,"3-4",IF(M21&lt;=6,"5-6","7+")))</f>
        <v>1-2</v>
      </c>
    </row>
    <row r="22">
      <c r="A22" s="4" t="inlineStr">
        <is>
          <t>api_router</t>
        </is>
      </c>
      <c r="B22" s="4" t="inlineStr">
        <is>
          <t>API</t>
        </is>
      </c>
      <c r="C22" s="4" t="inlineStr">
        <is>
          <t>Java</t>
        </is>
      </c>
      <c r="D22" s="4" t="inlineStr">
        <is>
          <t>v1.0</t>
        </is>
      </c>
      <c r="E22" s="40" t="n">
        <v>45306</v>
      </c>
      <c r="F22" s="4" t="n">
        <v>1</v>
      </c>
      <c r="G22" s="4" t="n">
        <v>2768</v>
      </c>
      <c r="H22" s="18" t="n">
        <v>8.08</v>
      </c>
      <c r="I22" s="18" t="n">
        <v>6.73</v>
      </c>
      <c r="J22" s="29" t="n">
        <v>308.6</v>
      </c>
      <c r="K22" s="29" t="n">
        <v>69.90000000000001</v>
      </c>
      <c r="L22" s="4" t="n">
        <v>8</v>
      </c>
      <c r="M22" s="4" t="n">
        <v>3</v>
      </c>
      <c r="N22" s="4" t="n">
        <v>464</v>
      </c>
      <c r="O22" s="4" t="n">
        <v>0</v>
      </c>
      <c r="P22" s="4" t="n">
        <v>0</v>
      </c>
      <c r="Q22" s="4" t="n">
        <v>0</v>
      </c>
      <c r="R22" s="4" t="n">
        <v>0</v>
      </c>
      <c r="S22" s="4">
        <f>SUM(O22:R22)</f>
        <v>0</v>
      </c>
      <c r="T22" s="18">
        <f>J22/L22</f>
        <v>38.575</v>
      </c>
      <c r="U22" s="18">
        <f>S22/G22*1000</f>
        <v>0</v>
      </c>
      <c r="V22" s="4">
        <f>Q22+R22</f>
        <v>0</v>
      </c>
      <c r="W22" s="29">
        <f>100*((J22-MIN($J$2:$J$236))/(MAX($J$2:$J$236)-MIN($J$2:$J$236))+(H22-MIN($H$2:$H$236))/(MAX($H$2:$H$236)-MIN($H$2:$H$236))+(1-(K22-MIN($K$2:$K$236))/(MAX($K$2:$K$236)-MIN($K$2:$K$236))))/3</f>
        <v>26.8053454780388</v>
      </c>
      <c r="X22" s="4" t="n">
        <v>0</v>
      </c>
      <c r="Y22" s="4" t="n">
        <v>0</v>
      </c>
      <c r="Z22" s="4" t="n">
        <v>0</v>
      </c>
      <c r="AA22" s="4" t="inlineStr">
        <is>
          <t>No</t>
        </is>
      </c>
      <c r="AB22" s="4" t="str">
        <f>IF(H22&lt;=Complexity!$C$11,"Q1 (lowest)",IF(H22&lt;=Complexity!$C$12,"Q2",IF(H22&lt;=Complexity!$C$13,"Q3","Q4 (highest)")))</f>
        <v>Q1 (lowest)</v>
      </c>
      <c r="AC22" s="4" t="str">
        <f>IF(J22&lt;=Churn!$C$11,"Q1 (lowest)",IF(J22&lt;=Churn!$C$12,"Q2",IF(J22&lt;=Churn!$C$13,"Q3","Q4 (highest)")))</f>
        <v>Q3</v>
      </c>
      <c r="AD22" s="4" t="str">
        <f>IF(K22&lt;=40,"&lt;=40%",IF(K22&lt;=60,"40-60%",IF(K22&lt;=80,"60-80%","80%+")))</f>
        <v>60-80%</v>
      </c>
      <c r="AE22" s="4" t="str">
        <f>IF(M22&lt;=2,"1-2",IF(M22&lt;=4,"3-4",IF(M22&lt;=6,"5-6","7+")))</f>
        <v>3-4</v>
      </c>
    </row>
    <row r="23">
      <c r="A23" s="4" t="inlineStr">
        <is>
          <t>api_router</t>
        </is>
      </c>
      <c r="B23" s="4" t="inlineStr">
        <is>
          <t>API</t>
        </is>
      </c>
      <c r="C23" s="4" t="inlineStr">
        <is>
          <t>Java</t>
        </is>
      </c>
      <c r="D23" s="4" t="inlineStr">
        <is>
          <t>v1.1</t>
        </is>
      </c>
      <c r="E23" s="40" t="n">
        <v>45432</v>
      </c>
      <c r="F23" s="4" t="n">
        <v>2</v>
      </c>
      <c r="G23" s="4" t="n">
        <v>2768</v>
      </c>
      <c r="H23" s="18" t="n">
        <v>2</v>
      </c>
      <c r="I23" s="18" t="n">
        <v>5.15</v>
      </c>
      <c r="J23" s="29" t="n">
        <v>169.9</v>
      </c>
      <c r="K23" s="29" t="n">
        <v>74.5</v>
      </c>
      <c r="L23" s="4" t="n">
        <v>7</v>
      </c>
      <c r="M23" s="4" t="n">
        <v>2</v>
      </c>
      <c r="N23" s="4" t="n">
        <v>201</v>
      </c>
      <c r="O23" s="4" t="n">
        <v>0</v>
      </c>
      <c r="P23" s="4" t="n">
        <v>0</v>
      </c>
      <c r="Q23" s="4" t="n">
        <v>0</v>
      </c>
      <c r="R23" s="4" t="n">
        <v>0</v>
      </c>
      <c r="S23" s="4">
        <f>SUM(O23:R23)</f>
        <v>0</v>
      </c>
      <c r="T23" s="18">
        <f>J23/L23</f>
        <v>24.2714285714286</v>
      </c>
      <c r="U23" s="18">
        <f>S23/G23*1000</f>
        <v>0</v>
      </c>
      <c r="V23" s="4">
        <f>Q23+R23</f>
        <v>0</v>
      </c>
      <c r="W23" s="29">
        <f>100*((J23-MIN($J$2:$J$236))/(MAX($J$2:$J$236)-MIN($J$2:$J$236))+(H23-MIN($H$2:$H$236))/(MAX($H$2:$H$236)-MIN($H$2:$H$236))+(1-(K23-MIN($K$2:$K$236))/(MAX($K$2:$K$236)-MIN($K$2:$K$236))))/3</f>
        <v>14.4503882383023</v>
      </c>
      <c r="X23" s="4" t="n">
        <v>0</v>
      </c>
      <c r="Y23" s="4" t="n">
        <v>0</v>
      </c>
      <c r="Z23" s="4" t="n">
        <v>0</v>
      </c>
      <c r="AA23" s="4" t="inlineStr">
        <is>
          <t>No</t>
        </is>
      </c>
      <c r="AB23" s="4" t="str">
        <f>IF(H23&lt;=Complexity!$C$11,"Q1 (lowest)",IF(H23&lt;=Complexity!$C$12,"Q2",IF(H23&lt;=Complexity!$C$13,"Q3","Q4 (highest)")))</f>
        <v>Q1 (lowest)</v>
      </c>
      <c r="AC23" s="4" t="str">
        <f>IF(J23&lt;=Churn!$C$11,"Q1 (lowest)",IF(J23&lt;=Churn!$C$12,"Q2",IF(J23&lt;=Churn!$C$13,"Q3","Q4 (highest)")))</f>
        <v>Q2</v>
      </c>
      <c r="AD23" s="4" t="str">
        <f>IF(K23&lt;=40,"&lt;=40%",IF(K23&lt;=60,"40-60%",IF(K23&lt;=80,"60-80%","80%+")))</f>
        <v>60-80%</v>
      </c>
      <c r="AE23" s="4" t="str">
        <f>IF(M23&lt;=2,"1-2",IF(M23&lt;=4,"3-4",IF(M23&lt;=6,"5-6","7+")))</f>
        <v>1-2</v>
      </c>
    </row>
    <row r="24">
      <c r="A24" s="4" t="inlineStr">
        <is>
          <t>api_router</t>
        </is>
      </c>
      <c r="B24" s="4" t="inlineStr">
        <is>
          <t>API</t>
        </is>
      </c>
      <c r="C24" s="4" t="inlineStr">
        <is>
          <t>Java</t>
        </is>
      </c>
      <c r="D24" s="4" t="inlineStr">
        <is>
          <t>v2.0</t>
        </is>
      </c>
      <c r="E24" s="40" t="n">
        <v>45545</v>
      </c>
      <c r="F24" s="4" t="n">
        <v>3</v>
      </c>
      <c r="G24" s="4" t="n">
        <v>2768</v>
      </c>
      <c r="H24" s="18" t="n">
        <v>8.140000000000001</v>
      </c>
      <c r="I24" s="18" t="n">
        <v>9.92</v>
      </c>
      <c r="J24" s="29" t="n">
        <v>277.6</v>
      </c>
      <c r="K24" s="29" t="n">
        <v>67.7</v>
      </c>
      <c r="L24" s="4" t="n">
        <v>7</v>
      </c>
      <c r="M24" s="4" t="n">
        <v>3</v>
      </c>
      <c r="N24" s="4" t="n">
        <v>476</v>
      </c>
      <c r="O24" s="4" t="n">
        <v>0</v>
      </c>
      <c r="P24" s="4" t="n">
        <v>0</v>
      </c>
      <c r="Q24" s="4" t="n">
        <v>1</v>
      </c>
      <c r="R24" s="4" t="n">
        <v>0</v>
      </c>
      <c r="S24" s="4">
        <f>SUM(O24:R24)</f>
        <v>1</v>
      </c>
      <c r="T24" s="18">
        <f>J24/L24</f>
        <v>39.6571428571429</v>
      </c>
      <c r="U24" s="18">
        <f>S24/G24*1000</f>
        <v>0.361271676300578</v>
      </c>
      <c r="V24" s="4">
        <f>Q24+R24</f>
        <v>1</v>
      </c>
      <c r="W24" s="29">
        <f>100*((J24-MIN($J$2:$J$236))/(MAX($J$2:$J$236)-MIN($J$2:$J$236))+(H24-MIN($H$2:$H$236))/(MAX($H$2:$H$236)-MIN($H$2:$H$236))+(1-(K24-MIN($K$2:$K$236))/(MAX($K$2:$K$236)-MIN($K$2:$K$236))))/3</f>
        <v>27.0222413166848</v>
      </c>
      <c r="X24" s="4" t="n">
        <v>0</v>
      </c>
      <c r="Y24" s="4" t="n">
        <v>0</v>
      </c>
      <c r="Z24" s="4" t="n">
        <v>0</v>
      </c>
      <c r="AA24" s="4" t="inlineStr">
        <is>
          <t>No</t>
        </is>
      </c>
      <c r="AB24" s="4" t="str">
        <f>IF(H24&lt;=Complexity!$C$11,"Q1 (lowest)",IF(H24&lt;=Complexity!$C$12,"Q2",IF(H24&lt;=Complexity!$C$13,"Q3","Q4 (highest)")))</f>
        <v>Q1 (lowest)</v>
      </c>
      <c r="AC24" s="4" t="str">
        <f>IF(J24&lt;=Churn!$C$11,"Q1 (lowest)",IF(J24&lt;=Churn!$C$12,"Q2",IF(J24&lt;=Churn!$C$13,"Q3","Q4 (highest)")))</f>
        <v>Q2</v>
      </c>
      <c r="AD24" s="4" t="str">
        <f>IF(K24&lt;=40,"&lt;=40%",IF(K24&lt;=60,"40-60%",IF(K24&lt;=80,"60-80%","80%+")))</f>
        <v>60-80%</v>
      </c>
      <c r="AE24" s="4" t="str">
        <f>IF(M24&lt;=2,"1-2",IF(M24&lt;=4,"3-4",IF(M24&lt;=6,"5-6","7+")))</f>
        <v>3-4</v>
      </c>
    </row>
    <row r="25">
      <c r="A25" s="4" t="inlineStr">
        <is>
          <t>api_router</t>
        </is>
      </c>
      <c r="B25" s="4" t="inlineStr">
        <is>
          <t>API</t>
        </is>
      </c>
      <c r="C25" s="4" t="inlineStr">
        <is>
          <t>Java</t>
        </is>
      </c>
      <c r="D25" s="4" t="inlineStr">
        <is>
          <t>v2.1</t>
        </is>
      </c>
      <c r="E25" s="40" t="n">
        <v>45706</v>
      </c>
      <c r="F25" s="4" t="n">
        <v>4</v>
      </c>
      <c r="G25" s="4" t="n">
        <v>2768</v>
      </c>
      <c r="H25" s="18" t="n">
        <v>2</v>
      </c>
      <c r="I25" s="18" t="n">
        <v>3.87</v>
      </c>
      <c r="J25" s="29" t="n">
        <v>457.3</v>
      </c>
      <c r="K25" s="29" t="n">
        <v>69.7</v>
      </c>
      <c r="L25" s="4" t="n">
        <v>12</v>
      </c>
      <c r="M25" s="4" t="n">
        <v>3</v>
      </c>
      <c r="N25" s="4" t="n">
        <v>552</v>
      </c>
      <c r="O25" s="4" t="n">
        <v>0</v>
      </c>
      <c r="P25" s="4" t="n">
        <v>0</v>
      </c>
      <c r="Q25" s="4" t="n">
        <v>0</v>
      </c>
      <c r="R25" s="4" t="n">
        <v>0</v>
      </c>
      <c r="S25" s="4">
        <f>SUM(O25:R25)</f>
        <v>0</v>
      </c>
      <c r="T25" s="18">
        <f>J25/L25</f>
        <v>38.1083333333333</v>
      </c>
      <c r="U25" s="18">
        <f>S25/G25*1000</f>
        <v>0</v>
      </c>
      <c r="V25" s="4">
        <f>Q25+R25</f>
        <v>0</v>
      </c>
      <c r="W25" s="29">
        <f>100*((J25-MIN($J$2:$J$236))/(MAX($J$2:$J$236)-MIN($J$2:$J$236))+(H25-MIN($H$2:$H$236))/(MAX($H$2:$H$236)-MIN($H$2:$H$236))+(1-(K25-MIN($K$2:$K$236))/(MAX($K$2:$K$236)-MIN($K$2:$K$236))))/3</f>
        <v>24.5194043383081</v>
      </c>
      <c r="X25" s="4" t="n">
        <v>1</v>
      </c>
      <c r="Y25" s="4" t="n">
        <v>0</v>
      </c>
      <c r="Z25" s="4" t="n">
        <v>0</v>
      </c>
      <c r="AA25" s="4" t="inlineStr">
        <is>
          <t>No</t>
        </is>
      </c>
      <c r="AB25" s="4" t="str">
        <f>IF(H25&lt;=Complexity!$C$11,"Q1 (lowest)",IF(H25&lt;=Complexity!$C$12,"Q2",IF(H25&lt;=Complexity!$C$13,"Q3","Q4 (highest)")))</f>
        <v>Q1 (lowest)</v>
      </c>
      <c r="AC25" s="4" t="str">
        <f>IF(J25&lt;=Churn!$C$11,"Q1 (lowest)",IF(J25&lt;=Churn!$C$12,"Q2",IF(J25&lt;=Churn!$C$13,"Q3","Q4 (highest)")))</f>
        <v>Q4 (highest)</v>
      </c>
      <c r="AD25" s="4" t="str">
        <f>IF(K25&lt;=40,"&lt;=40%",IF(K25&lt;=60,"40-60%",IF(K25&lt;=80,"60-80%","80%+")))</f>
        <v>60-80%</v>
      </c>
      <c r="AE25" s="4" t="str">
        <f>IF(M25&lt;=2,"1-2",IF(M25&lt;=4,"3-4",IF(M25&lt;=6,"5-6","7+")))</f>
        <v>3-4</v>
      </c>
    </row>
    <row r="26">
      <c r="A26" s="4" t="inlineStr">
        <is>
          <t>api_router</t>
        </is>
      </c>
      <c r="B26" s="4" t="inlineStr">
        <is>
          <t>API</t>
        </is>
      </c>
      <c r="C26" s="4" t="inlineStr">
        <is>
          <t>Java</t>
        </is>
      </c>
      <c r="D26" s="4" t="inlineStr">
        <is>
          <t>v3.0</t>
        </is>
      </c>
      <c r="E26" s="40" t="n">
        <v>45839</v>
      </c>
      <c r="F26" s="4" t="n">
        <v>5</v>
      </c>
      <c r="G26" s="4" t="n">
        <v>2768</v>
      </c>
      <c r="H26" s="18" t="n">
        <v>3.89</v>
      </c>
      <c r="I26" s="18" t="n">
        <v>3.13</v>
      </c>
      <c r="J26" s="29" t="n">
        <v>397.5</v>
      </c>
      <c r="K26" s="29" t="n">
        <v>67.40000000000001</v>
      </c>
      <c r="L26" s="4" t="n">
        <v>11</v>
      </c>
      <c r="M26" s="4" t="n">
        <v>3</v>
      </c>
      <c r="N26" s="4" t="n">
        <v>497</v>
      </c>
      <c r="O26" s="4" t="n">
        <v>0</v>
      </c>
      <c r="P26" s="4" t="n">
        <v>0</v>
      </c>
      <c r="Q26" s="4" t="n">
        <v>0</v>
      </c>
      <c r="R26" s="4" t="n">
        <v>1</v>
      </c>
      <c r="S26" s="4">
        <f>SUM(O26:R26)</f>
        <v>1</v>
      </c>
      <c r="T26" s="18">
        <f>J26/L26</f>
        <v>36.1363636363636</v>
      </c>
      <c r="U26" s="18">
        <f>S26/G26*1000</f>
        <v>0.361271676300578</v>
      </c>
      <c r="V26" s="4">
        <f>Q26+R26</f>
        <v>1</v>
      </c>
      <c r="W26" s="29">
        <f>100*((J26-MIN($J$2:$J$236))/(MAX($J$2:$J$236)-MIN($J$2:$J$236))+(H26-MIN($H$2:$H$236))/(MAX($H$2:$H$236)-MIN($H$2:$H$236))+(1-(K26-MIN($K$2:$K$236))/(MAX($K$2:$K$236)-MIN($K$2:$K$236))))/3</f>
        <v>25.93490646765</v>
      </c>
      <c r="X26" s="4" t="n">
        <v>0</v>
      </c>
      <c r="Y26" s="4" t="n">
        <v>0</v>
      </c>
      <c r="Z26" s="4" t="n">
        <v>0</v>
      </c>
      <c r="AA26" s="4" t="inlineStr">
        <is>
          <t>No</t>
        </is>
      </c>
      <c r="AB26" s="4" t="str">
        <f>IF(H26&lt;=Complexity!$C$11,"Q1 (lowest)",IF(H26&lt;=Complexity!$C$12,"Q2",IF(H26&lt;=Complexity!$C$13,"Q3","Q4 (highest)")))</f>
        <v>Q1 (lowest)</v>
      </c>
      <c r="AC26" s="4" t="str">
        <f>IF(J26&lt;=Churn!$C$11,"Q1 (lowest)",IF(J26&lt;=Churn!$C$12,"Q2",IF(J26&lt;=Churn!$C$13,"Q3","Q4 (highest)")))</f>
        <v>Q4 (highest)</v>
      </c>
      <c r="AD26" s="4" t="str">
        <f>IF(K26&lt;=40,"&lt;=40%",IF(K26&lt;=60,"40-60%",IF(K26&lt;=80,"60-80%","80%+")))</f>
        <v>60-80%</v>
      </c>
      <c r="AE26" s="4" t="str">
        <f>IF(M26&lt;=2,"1-2",IF(M26&lt;=4,"3-4",IF(M26&lt;=6,"5-6","7+")))</f>
        <v>3-4</v>
      </c>
    </row>
    <row r="27">
      <c r="A27" s="4" t="inlineStr">
        <is>
          <t>api_validator</t>
        </is>
      </c>
      <c r="B27" s="4" t="inlineStr">
        <is>
          <t>API</t>
        </is>
      </c>
      <c r="C27" s="4" t="inlineStr">
        <is>
          <t>Java</t>
        </is>
      </c>
      <c r="D27" s="4" t="inlineStr">
        <is>
          <t>v1.0</t>
        </is>
      </c>
      <c r="E27" s="40" t="n">
        <v>45306</v>
      </c>
      <c r="F27" s="4" t="n">
        <v>1</v>
      </c>
      <c r="G27" s="4" t="n">
        <v>3370</v>
      </c>
      <c r="H27" s="18" t="n">
        <v>3.76</v>
      </c>
      <c r="I27" s="18" t="n">
        <v>8.52</v>
      </c>
      <c r="J27" s="29" t="n">
        <v>486.1</v>
      </c>
      <c r="K27" s="29" t="n">
        <v>76.8</v>
      </c>
      <c r="L27" s="4" t="n">
        <v>22</v>
      </c>
      <c r="M27" s="4" t="n">
        <v>6</v>
      </c>
      <c r="N27" s="4" t="n">
        <v>721</v>
      </c>
      <c r="O27" s="4" t="n">
        <v>0</v>
      </c>
      <c r="P27" s="4" t="n">
        <v>0</v>
      </c>
      <c r="Q27" s="4" t="n">
        <v>0</v>
      </c>
      <c r="R27" s="4" t="n">
        <v>0</v>
      </c>
      <c r="S27" s="4">
        <f>SUM(O27:R27)</f>
        <v>0</v>
      </c>
      <c r="T27" s="18">
        <f>J27/L27</f>
        <v>22.0954545454545</v>
      </c>
      <c r="U27" s="18">
        <f>S27/G27*1000</f>
        <v>0</v>
      </c>
      <c r="V27" s="4">
        <f>Q27+R27</f>
        <v>0</v>
      </c>
      <c r="W27" s="29">
        <f>100*((J27-MIN($J$2:$J$236))/(MAX($J$2:$J$236)-MIN($J$2:$J$236))+(H27-MIN($H$2:$H$236))/(MAX($H$2:$H$236)-MIN($H$2:$H$236))+(1-(K27-MIN($K$2:$K$236))/(MAX($K$2:$K$236)-MIN($K$2:$K$236))))/3</f>
        <v>23.9398639231107</v>
      </c>
      <c r="X27" s="4" t="n">
        <v>0</v>
      </c>
      <c r="Y27" s="4" t="n">
        <v>0</v>
      </c>
      <c r="Z27" s="4" t="n">
        <v>0</v>
      </c>
      <c r="AA27" s="4" t="inlineStr">
        <is>
          <t>No</t>
        </is>
      </c>
      <c r="AB27" s="4" t="str">
        <f>IF(H27&lt;=Complexity!$C$11,"Q1 (lowest)",IF(H27&lt;=Complexity!$C$12,"Q2",IF(H27&lt;=Complexity!$C$13,"Q3","Q4 (highest)")))</f>
        <v>Q1 (lowest)</v>
      </c>
      <c r="AC27" s="4" t="str">
        <f>IF(J27&lt;=Churn!$C$11,"Q1 (lowest)",IF(J27&lt;=Churn!$C$12,"Q2",IF(J27&lt;=Churn!$C$13,"Q3","Q4 (highest)")))</f>
        <v>Q4 (highest)</v>
      </c>
      <c r="AD27" s="4" t="str">
        <f>IF(K27&lt;=40,"&lt;=40%",IF(K27&lt;=60,"40-60%",IF(K27&lt;=80,"60-80%","80%+")))</f>
        <v>60-80%</v>
      </c>
      <c r="AE27" s="4" t="str">
        <f>IF(M27&lt;=2,"1-2",IF(M27&lt;=4,"3-4",IF(M27&lt;=6,"5-6","7+")))</f>
        <v>5-6</v>
      </c>
    </row>
    <row r="28">
      <c r="A28" s="4" t="inlineStr">
        <is>
          <t>api_validator</t>
        </is>
      </c>
      <c r="B28" s="4" t="inlineStr">
        <is>
          <t>API</t>
        </is>
      </c>
      <c r="C28" s="4" t="inlineStr">
        <is>
          <t>Java</t>
        </is>
      </c>
      <c r="D28" s="4" t="inlineStr">
        <is>
          <t>v1.1</t>
        </is>
      </c>
      <c r="E28" s="40" t="n">
        <v>45432</v>
      </c>
      <c r="F28" s="4" t="n">
        <v>2</v>
      </c>
      <c r="G28" s="4" t="n">
        <v>3370</v>
      </c>
      <c r="H28" s="18" t="n">
        <v>9.630000000000001</v>
      </c>
      <c r="I28" s="18" t="n">
        <v>7.21</v>
      </c>
      <c r="J28" s="29" t="n">
        <v>165.6</v>
      </c>
      <c r="K28" s="29" t="n">
        <v>69.5</v>
      </c>
      <c r="L28" s="4" t="n">
        <v>5</v>
      </c>
      <c r="M28" s="4" t="n">
        <v>2</v>
      </c>
      <c r="N28" s="4" t="n">
        <v>237</v>
      </c>
      <c r="O28" s="4" t="n">
        <v>0</v>
      </c>
      <c r="P28" s="4" t="n">
        <v>0</v>
      </c>
      <c r="Q28" s="4" t="n">
        <v>0</v>
      </c>
      <c r="R28" s="4" t="n">
        <v>0</v>
      </c>
      <c r="S28" s="4">
        <f>SUM(O28:R28)</f>
        <v>0</v>
      </c>
      <c r="T28" s="18">
        <f>J28/L28</f>
        <v>33.12</v>
      </c>
      <c r="U28" s="18">
        <f>S28/G28*1000</f>
        <v>0</v>
      </c>
      <c r="V28" s="4">
        <f>Q28+R28</f>
        <v>0</v>
      </c>
      <c r="W28" s="29">
        <f>100*((J28-MIN($J$2:$J$236))/(MAX($J$2:$J$236)-MIN($J$2:$J$236))+(H28-MIN($H$2:$H$236))/(MAX($H$2:$H$236)-MIN($H$2:$H$236))+(1-(K28-MIN($K$2:$K$236))/(MAX($K$2:$K$236)-MIN($K$2:$K$236))))/3</f>
        <v>24.7122557895672</v>
      </c>
      <c r="X28" s="4" t="n">
        <v>0</v>
      </c>
      <c r="Y28" s="4" t="n">
        <v>0</v>
      </c>
      <c r="Z28" s="4" t="n">
        <v>0</v>
      </c>
      <c r="AA28" s="4" t="inlineStr">
        <is>
          <t>No</t>
        </is>
      </c>
      <c r="AB28" s="4" t="str">
        <f>IF(H28&lt;=Complexity!$C$11,"Q1 (lowest)",IF(H28&lt;=Complexity!$C$12,"Q2",IF(H28&lt;=Complexity!$C$13,"Q3","Q4 (highest)")))</f>
        <v>Q1 (lowest)</v>
      </c>
      <c r="AC28" s="4" t="str">
        <f>IF(J28&lt;=Churn!$C$11,"Q1 (lowest)",IF(J28&lt;=Churn!$C$12,"Q2",IF(J28&lt;=Churn!$C$13,"Q3","Q4 (highest)")))</f>
        <v>Q2</v>
      </c>
      <c r="AD28" s="4" t="str">
        <f>IF(K28&lt;=40,"&lt;=40%",IF(K28&lt;=60,"40-60%",IF(K28&lt;=80,"60-80%","80%+")))</f>
        <v>60-80%</v>
      </c>
      <c r="AE28" s="4" t="str">
        <f>IF(M28&lt;=2,"1-2",IF(M28&lt;=4,"3-4",IF(M28&lt;=6,"5-6","7+")))</f>
        <v>1-2</v>
      </c>
    </row>
    <row r="29">
      <c r="A29" s="4" t="inlineStr">
        <is>
          <t>api_validator</t>
        </is>
      </c>
      <c r="B29" s="4" t="inlineStr">
        <is>
          <t>API</t>
        </is>
      </c>
      <c r="C29" s="4" t="inlineStr">
        <is>
          <t>Java</t>
        </is>
      </c>
      <c r="D29" s="4" t="inlineStr">
        <is>
          <t>v2.0</t>
        </is>
      </c>
      <c r="E29" s="40" t="n">
        <v>45545</v>
      </c>
      <c r="F29" s="4" t="n">
        <v>3</v>
      </c>
      <c r="G29" s="4" t="n">
        <v>3370</v>
      </c>
      <c r="H29" s="18" t="n">
        <v>2.14</v>
      </c>
      <c r="I29" s="18" t="n">
        <v>6.41</v>
      </c>
      <c r="J29" s="29" t="n">
        <v>600.8</v>
      </c>
      <c r="K29" s="29" t="n">
        <v>76.5</v>
      </c>
      <c r="L29" s="4" t="n">
        <v>21</v>
      </c>
      <c r="M29" s="4" t="n">
        <v>5</v>
      </c>
      <c r="N29" s="4" t="n">
        <v>917</v>
      </c>
      <c r="O29" s="4" t="n">
        <v>0</v>
      </c>
      <c r="P29" s="4" t="n">
        <v>1</v>
      </c>
      <c r="Q29" s="4" t="n">
        <v>1</v>
      </c>
      <c r="R29" s="4" t="n">
        <v>0</v>
      </c>
      <c r="S29" s="4">
        <f>SUM(O29:R29)</f>
        <v>2</v>
      </c>
      <c r="T29" s="18">
        <f>J29/L29</f>
        <v>28.6095238095238</v>
      </c>
      <c r="U29" s="18">
        <f>S29/G29*1000</f>
        <v>0.593471810089021</v>
      </c>
      <c r="V29" s="4">
        <f>Q29+R29</f>
        <v>1</v>
      </c>
      <c r="W29" s="29">
        <f>100*((J29-MIN($J$2:$J$236))/(MAX($J$2:$J$236)-MIN($J$2:$J$236))+(H29-MIN($H$2:$H$236))/(MAX($H$2:$H$236)-MIN($H$2:$H$236))+(1-(K29-MIN($K$2:$K$236))/(MAX($K$2:$K$236)-MIN($K$2:$K$236))))/3</f>
        <v>25.5018820981259</v>
      </c>
      <c r="X29" s="4" t="n">
        <v>0</v>
      </c>
      <c r="Y29" s="4" t="n">
        <v>0</v>
      </c>
      <c r="Z29" s="4" t="n">
        <v>0</v>
      </c>
      <c r="AA29" s="4" t="inlineStr">
        <is>
          <t>No</t>
        </is>
      </c>
      <c r="AB29" s="4" t="str">
        <f>IF(H29&lt;=Complexity!$C$11,"Q1 (lowest)",IF(H29&lt;=Complexity!$C$12,"Q2",IF(H29&lt;=Complexity!$C$13,"Q3","Q4 (highest)")))</f>
        <v>Q1 (lowest)</v>
      </c>
      <c r="AC29" s="4" t="str">
        <f>IF(J29&lt;=Churn!$C$11,"Q1 (lowest)",IF(J29&lt;=Churn!$C$12,"Q2",IF(J29&lt;=Churn!$C$13,"Q3","Q4 (highest)")))</f>
        <v>Q4 (highest)</v>
      </c>
      <c r="AD29" s="4" t="str">
        <f>IF(K29&lt;=40,"&lt;=40%",IF(K29&lt;=60,"40-60%",IF(K29&lt;=80,"60-80%","80%+")))</f>
        <v>60-80%</v>
      </c>
      <c r="AE29" s="4" t="str">
        <f>IF(M29&lt;=2,"1-2",IF(M29&lt;=4,"3-4",IF(M29&lt;=6,"5-6","7+")))</f>
        <v>5-6</v>
      </c>
    </row>
    <row r="30">
      <c r="A30" s="4" t="inlineStr">
        <is>
          <t>api_validator</t>
        </is>
      </c>
      <c r="B30" s="4" t="inlineStr">
        <is>
          <t>API</t>
        </is>
      </c>
      <c r="C30" s="4" t="inlineStr">
        <is>
          <t>Java</t>
        </is>
      </c>
      <c r="D30" s="4" t="inlineStr">
        <is>
          <t>v2.1</t>
        </is>
      </c>
      <c r="E30" s="40" t="n">
        <v>45706</v>
      </c>
      <c r="F30" s="4" t="n">
        <v>4</v>
      </c>
      <c r="G30" s="4" t="n">
        <v>3370</v>
      </c>
      <c r="H30" s="18" t="n">
        <v>10.09</v>
      </c>
      <c r="I30" s="18" t="n">
        <v>6.97</v>
      </c>
      <c r="J30" s="29" t="n">
        <v>106.4</v>
      </c>
      <c r="K30" s="29" t="n">
        <v>74.3</v>
      </c>
      <c r="L30" s="4" t="n">
        <v>4</v>
      </c>
      <c r="M30" s="4" t="n">
        <v>2</v>
      </c>
      <c r="N30" s="4" t="n">
        <v>147</v>
      </c>
      <c r="O30" s="4" t="n">
        <v>0</v>
      </c>
      <c r="P30" s="4" t="n">
        <v>0</v>
      </c>
      <c r="Q30" s="4" t="n">
        <v>0</v>
      </c>
      <c r="R30" s="4" t="n">
        <v>0</v>
      </c>
      <c r="S30" s="4">
        <f>SUM(O30:R30)</f>
        <v>0</v>
      </c>
      <c r="T30" s="18">
        <f>J30/L30</f>
        <v>26.6</v>
      </c>
      <c r="U30" s="18">
        <f>S30/G30*1000</f>
        <v>0</v>
      </c>
      <c r="V30" s="4">
        <f>Q30+R30</f>
        <v>0</v>
      </c>
      <c r="W30" s="29">
        <f>100*((J30-MIN($J$2:$J$236))/(MAX($J$2:$J$236)-MIN($J$2:$J$236))+(H30-MIN($H$2:$H$236))/(MAX($H$2:$H$236)-MIN($H$2:$H$236))+(1-(K30-MIN($K$2:$K$236))/(MAX($K$2:$K$236)-MIN($K$2:$K$236))))/3</f>
        <v>21.3885885375336</v>
      </c>
      <c r="X30" s="4" t="n">
        <v>2</v>
      </c>
      <c r="Y30" s="4" t="n">
        <v>0</v>
      </c>
      <c r="Z30" s="4" t="n">
        <v>0</v>
      </c>
      <c r="AA30" s="4" t="inlineStr">
        <is>
          <t>No</t>
        </is>
      </c>
      <c r="AB30" s="4" t="str">
        <f>IF(H30&lt;=Complexity!$C$11,"Q1 (lowest)",IF(H30&lt;=Complexity!$C$12,"Q2",IF(H30&lt;=Complexity!$C$13,"Q3","Q4 (highest)")))</f>
        <v>Q1 (lowest)</v>
      </c>
      <c r="AC30" s="4" t="str">
        <f>IF(J30&lt;=Churn!$C$11,"Q1 (lowest)",IF(J30&lt;=Churn!$C$12,"Q2",IF(J30&lt;=Churn!$C$13,"Q3","Q4 (highest)")))</f>
        <v>Q1 (lowest)</v>
      </c>
      <c r="AD30" s="4" t="str">
        <f>IF(K30&lt;=40,"&lt;=40%",IF(K30&lt;=60,"40-60%",IF(K30&lt;=80,"60-80%","80%+")))</f>
        <v>60-80%</v>
      </c>
      <c r="AE30" s="4" t="str">
        <f>IF(M30&lt;=2,"1-2",IF(M30&lt;=4,"3-4",IF(M30&lt;=6,"5-6","7+")))</f>
        <v>1-2</v>
      </c>
    </row>
    <row r="31">
      <c r="A31" s="4" t="inlineStr">
        <is>
          <t>api_validator</t>
        </is>
      </c>
      <c r="B31" s="4" t="inlineStr">
        <is>
          <t>API</t>
        </is>
      </c>
      <c r="C31" s="4" t="inlineStr">
        <is>
          <t>Java</t>
        </is>
      </c>
      <c r="D31" s="4" t="inlineStr">
        <is>
          <t>v3.0</t>
        </is>
      </c>
      <c r="E31" s="40" t="n">
        <v>45839</v>
      </c>
      <c r="F31" s="4" t="n">
        <v>5</v>
      </c>
      <c r="G31" s="4" t="n">
        <v>3370</v>
      </c>
      <c r="H31" s="18" t="n">
        <v>3.79</v>
      </c>
      <c r="I31" s="18" t="n">
        <v>4.6</v>
      </c>
      <c r="J31" s="29" t="n">
        <v>325.85</v>
      </c>
      <c r="K31" s="29" t="n">
        <v>75.09999999999999</v>
      </c>
      <c r="L31" s="4" t="n">
        <v>13</v>
      </c>
      <c r="M31" s="4" t="n">
        <v>5</v>
      </c>
      <c r="N31" s="4" t="n">
        <v>552</v>
      </c>
      <c r="O31" s="4" t="n">
        <v>3</v>
      </c>
      <c r="P31" s="4" t="n">
        <v>0</v>
      </c>
      <c r="Q31" s="4" t="n">
        <v>0</v>
      </c>
      <c r="R31" s="4" t="n">
        <v>1</v>
      </c>
      <c r="S31" s="4">
        <f>SUM(O31:R31)</f>
        <v>4</v>
      </c>
      <c r="T31" s="18">
        <f>J31/L31</f>
        <v>25.0653846153846</v>
      </c>
      <c r="U31" s="18">
        <f>S31/G31*1000</f>
        <v>1.18694362017804</v>
      </c>
      <c r="V31" s="4">
        <f>Q31+R31</f>
        <v>1</v>
      </c>
      <c r="W31" s="29">
        <f>100*((J31-MIN($J$2:$J$236))/(MAX($J$2:$J$236)-MIN($J$2:$J$236))+(H31-MIN($H$2:$H$236))/(MAX($H$2:$H$236)-MIN($H$2:$H$236))+(1-(K31-MIN($K$2:$K$236))/(MAX($K$2:$K$236)-MIN($K$2:$K$236))))/3</f>
        <v>20.3530028509861</v>
      </c>
      <c r="X31" s="4" t="n">
        <v>0</v>
      </c>
      <c r="Y31" s="4" t="n">
        <v>0</v>
      </c>
      <c r="Z31" s="4" t="n">
        <v>1</v>
      </c>
      <c r="AA31" s="4" t="inlineStr">
        <is>
          <t>No</t>
        </is>
      </c>
      <c r="AB31" s="4" t="str">
        <f>IF(H31&lt;=Complexity!$C$11,"Q1 (lowest)",IF(H31&lt;=Complexity!$C$12,"Q2",IF(H31&lt;=Complexity!$C$13,"Q3","Q4 (highest)")))</f>
        <v>Q1 (lowest)</v>
      </c>
      <c r="AC31" s="4" t="str">
        <f>IF(J31&lt;=Churn!$C$11,"Q1 (lowest)",IF(J31&lt;=Churn!$C$12,"Q2",IF(J31&lt;=Churn!$C$13,"Q3","Q4 (highest)")))</f>
        <v>Q3</v>
      </c>
      <c r="AD31" s="4" t="str">
        <f>IF(K31&lt;=40,"&lt;=40%",IF(K31&lt;=60,"40-60%",IF(K31&lt;=80,"60-80%","80%+")))</f>
        <v>60-80%</v>
      </c>
      <c r="AE31" s="4" t="str">
        <f>IF(M31&lt;=2,"1-2",IF(M31&lt;=4,"3-4",IF(M31&lt;=6,"5-6","7+")))</f>
        <v>5-6</v>
      </c>
    </row>
    <row r="32">
      <c r="A32" s="4" t="inlineStr">
        <is>
          <t>api_versioning</t>
        </is>
      </c>
      <c r="B32" s="4" t="inlineStr">
        <is>
          <t>API</t>
        </is>
      </c>
      <c r="C32" s="4" t="inlineStr">
        <is>
          <t>Java</t>
        </is>
      </c>
      <c r="D32" s="4" t="inlineStr">
        <is>
          <t>v1.0</t>
        </is>
      </c>
      <c r="E32" s="40" t="n">
        <v>45306</v>
      </c>
      <c r="F32" s="4" t="n">
        <v>1</v>
      </c>
      <c r="G32" s="4" t="n">
        <v>833</v>
      </c>
      <c r="H32" s="18" t="n">
        <v>15.38</v>
      </c>
      <c r="I32" s="18" t="n">
        <v>12.85</v>
      </c>
      <c r="J32" s="29" t="n">
        <v>254.3</v>
      </c>
      <c r="K32" s="29" t="n">
        <v>63.1</v>
      </c>
      <c r="L32" s="4" t="n">
        <v>13</v>
      </c>
      <c r="M32" s="4" t="n">
        <v>3</v>
      </c>
      <c r="N32" s="4" t="n">
        <v>322</v>
      </c>
      <c r="O32" s="4" t="n">
        <v>0</v>
      </c>
      <c r="P32" s="4" t="n">
        <v>0</v>
      </c>
      <c r="Q32" s="4" t="n">
        <v>0</v>
      </c>
      <c r="R32" s="4" t="n">
        <v>0</v>
      </c>
      <c r="S32" s="4">
        <f>SUM(O32:R32)</f>
        <v>0</v>
      </c>
      <c r="T32" s="18">
        <f>J32/L32</f>
        <v>19.5615384615385</v>
      </c>
      <c r="U32" s="18">
        <f>S32/G32*1000</f>
        <v>0</v>
      </c>
      <c r="V32" s="4">
        <f>Q32+R32</f>
        <v>0</v>
      </c>
      <c r="W32" s="29">
        <f>100*((J32-MIN($J$2:$J$236))/(MAX($J$2:$J$236)-MIN($J$2:$J$236))+(H32-MIN($H$2:$H$236))/(MAX($H$2:$H$236)-MIN($H$2:$H$236))+(1-(K32-MIN($K$2:$K$236))/(MAX($K$2:$K$236)-MIN($K$2:$K$236))))/3</f>
        <v>36.1667357281764</v>
      </c>
      <c r="X32" s="4" t="n">
        <v>0</v>
      </c>
      <c r="Y32" s="4" t="n">
        <v>0</v>
      </c>
      <c r="Z32" s="4" t="n">
        <v>0</v>
      </c>
      <c r="AA32" s="4" t="inlineStr">
        <is>
          <t>No</t>
        </is>
      </c>
      <c r="AB32" s="4" t="str">
        <f>IF(H32&lt;=Complexity!$C$11,"Q1 (lowest)",IF(H32&lt;=Complexity!$C$12,"Q2",IF(H32&lt;=Complexity!$C$13,"Q3","Q4 (highest)")))</f>
        <v>Q3</v>
      </c>
      <c r="AC32" s="4" t="str">
        <f>IF(J32&lt;=Churn!$C$11,"Q1 (lowest)",IF(J32&lt;=Churn!$C$12,"Q2",IF(J32&lt;=Churn!$C$13,"Q3","Q4 (highest)")))</f>
        <v>Q2</v>
      </c>
      <c r="AD32" s="4" t="str">
        <f>IF(K32&lt;=40,"&lt;=40%",IF(K32&lt;=60,"40-60%",IF(K32&lt;=80,"60-80%","80%+")))</f>
        <v>60-80%</v>
      </c>
      <c r="AE32" s="4" t="str">
        <f>IF(M32&lt;=2,"1-2",IF(M32&lt;=4,"3-4",IF(M32&lt;=6,"5-6","7+")))</f>
        <v>3-4</v>
      </c>
    </row>
    <row r="33">
      <c r="A33" s="4" t="inlineStr">
        <is>
          <t>api_versioning</t>
        </is>
      </c>
      <c r="B33" s="4" t="inlineStr">
        <is>
          <t>API</t>
        </is>
      </c>
      <c r="C33" s="4" t="inlineStr">
        <is>
          <t>Java</t>
        </is>
      </c>
      <c r="D33" s="4" t="inlineStr">
        <is>
          <t>v1.1</t>
        </is>
      </c>
      <c r="E33" s="40" t="n">
        <v>45432</v>
      </c>
      <c r="F33" s="4" t="n">
        <v>2</v>
      </c>
      <c r="G33" s="4" t="n">
        <v>833</v>
      </c>
      <c r="H33" s="18" t="n">
        <v>16.07</v>
      </c>
      <c r="I33" s="18" t="n">
        <v>8.66</v>
      </c>
      <c r="J33" s="29" t="n">
        <v>254</v>
      </c>
      <c r="K33" s="29" t="n">
        <v>51.4</v>
      </c>
      <c r="L33" s="4" t="n">
        <v>10</v>
      </c>
      <c r="M33" s="4" t="n">
        <v>2</v>
      </c>
      <c r="N33" s="4" t="n">
        <v>283</v>
      </c>
      <c r="O33" s="4" t="n">
        <v>0</v>
      </c>
      <c r="P33" s="4" t="n">
        <v>0</v>
      </c>
      <c r="Q33" s="4" t="n">
        <v>0</v>
      </c>
      <c r="R33" s="4" t="n">
        <v>0</v>
      </c>
      <c r="S33" s="4">
        <f>SUM(O33:R33)</f>
        <v>0</v>
      </c>
      <c r="T33" s="18">
        <f>J33/L33</f>
        <v>25.4</v>
      </c>
      <c r="U33" s="18">
        <f>S33/G33*1000</f>
        <v>0</v>
      </c>
      <c r="V33" s="4">
        <f>Q33+R33</f>
        <v>0</v>
      </c>
      <c r="W33" s="29">
        <f>100*((J33-MIN($J$2:$J$236))/(MAX($J$2:$J$236)-MIN($J$2:$J$236))+(H33-MIN($H$2:$H$236))/(MAX($H$2:$H$236)-MIN($H$2:$H$236))+(1-(K33-MIN($K$2:$K$236))/(MAX($K$2:$K$236)-MIN($K$2:$K$236))))/3</f>
        <v>42.2261514097703</v>
      </c>
      <c r="X33" s="4" t="n">
        <v>0</v>
      </c>
      <c r="Y33" s="4" t="n">
        <v>0</v>
      </c>
      <c r="Z33" s="4" t="n">
        <v>0</v>
      </c>
      <c r="AA33" s="4" t="inlineStr">
        <is>
          <t>No</t>
        </is>
      </c>
      <c r="AB33" s="4" t="str">
        <f>IF(H33&lt;=Complexity!$C$11,"Q1 (lowest)",IF(H33&lt;=Complexity!$C$12,"Q2",IF(H33&lt;=Complexity!$C$13,"Q3","Q4 (highest)")))</f>
        <v>Q3</v>
      </c>
      <c r="AC33" s="4" t="str">
        <f>IF(J33&lt;=Churn!$C$11,"Q1 (lowest)",IF(J33&lt;=Churn!$C$12,"Q2",IF(J33&lt;=Churn!$C$13,"Q3","Q4 (highest)")))</f>
        <v>Q2</v>
      </c>
      <c r="AD33" s="4" t="str">
        <f>IF(K33&lt;=40,"&lt;=40%",IF(K33&lt;=60,"40-60%",IF(K33&lt;=80,"60-80%","80%+")))</f>
        <v>40-60%</v>
      </c>
      <c r="AE33" s="4" t="str">
        <f>IF(M33&lt;=2,"1-2",IF(M33&lt;=4,"3-4",IF(M33&lt;=6,"5-6","7+")))</f>
        <v>1-2</v>
      </c>
    </row>
    <row r="34">
      <c r="A34" s="4" t="inlineStr">
        <is>
          <t>api_versioning</t>
        </is>
      </c>
      <c r="B34" s="4" t="inlineStr">
        <is>
          <t>API</t>
        </is>
      </c>
      <c r="C34" s="4" t="inlineStr">
        <is>
          <t>Java</t>
        </is>
      </c>
      <c r="D34" s="4" t="inlineStr">
        <is>
          <t>v2.0</t>
        </is>
      </c>
      <c r="E34" s="40" t="n">
        <v>45545</v>
      </c>
      <c r="F34" s="4" t="n">
        <v>3</v>
      </c>
      <c r="G34" s="4" t="n">
        <v>833</v>
      </c>
      <c r="H34" s="18" t="n">
        <v>16.37</v>
      </c>
      <c r="I34" s="18" t="n">
        <v>13.41</v>
      </c>
      <c r="J34" s="29" t="n">
        <v>422.8</v>
      </c>
      <c r="K34" s="29" t="n">
        <v>61.5</v>
      </c>
      <c r="L34" s="4" t="n">
        <v>16</v>
      </c>
      <c r="M34" s="4" t="n">
        <v>5</v>
      </c>
      <c r="N34" s="4" t="n">
        <v>691</v>
      </c>
      <c r="O34" s="4" t="n">
        <v>0</v>
      </c>
      <c r="P34" s="4" t="n">
        <v>0</v>
      </c>
      <c r="Q34" s="4" t="n">
        <v>1</v>
      </c>
      <c r="R34" s="4" t="n">
        <v>1</v>
      </c>
      <c r="S34" s="4">
        <f>SUM(O34:R34)</f>
        <v>2</v>
      </c>
      <c r="T34" s="18">
        <f>J34/L34</f>
        <v>26.425</v>
      </c>
      <c r="U34" s="18">
        <f>S34/G34*1000</f>
        <v>2.40096038415366</v>
      </c>
      <c r="V34" s="4">
        <f>Q34+R34</f>
        <v>2</v>
      </c>
      <c r="W34" s="29">
        <f>100*((J34-MIN($J$2:$J$236))/(MAX($J$2:$J$236)-MIN($J$2:$J$236))+(H34-MIN($H$2:$H$236))/(MAX($H$2:$H$236)-MIN($H$2:$H$236))+(1-(K34-MIN($K$2:$K$236))/(MAX($K$2:$K$236)-MIN($K$2:$K$236))))/3</f>
        <v>42.567394433236</v>
      </c>
      <c r="X34" s="4" t="n">
        <v>0</v>
      </c>
      <c r="Y34" s="4" t="n">
        <v>0</v>
      </c>
      <c r="Z34" s="4" t="n">
        <v>0</v>
      </c>
      <c r="AA34" s="4" t="inlineStr">
        <is>
          <t>No</t>
        </is>
      </c>
      <c r="AB34" s="4" t="str">
        <f>IF(H34&lt;=Complexity!$C$11,"Q1 (lowest)",IF(H34&lt;=Complexity!$C$12,"Q2",IF(H34&lt;=Complexity!$C$13,"Q3","Q4 (highest)")))</f>
        <v>Q3</v>
      </c>
      <c r="AC34" s="4" t="str">
        <f>IF(J34&lt;=Churn!$C$11,"Q1 (lowest)",IF(J34&lt;=Churn!$C$12,"Q2",IF(J34&lt;=Churn!$C$13,"Q3","Q4 (highest)")))</f>
        <v>Q4 (highest)</v>
      </c>
      <c r="AD34" s="4" t="str">
        <f>IF(K34&lt;=40,"&lt;=40%",IF(K34&lt;=60,"40-60%",IF(K34&lt;=80,"60-80%","80%+")))</f>
        <v>60-80%</v>
      </c>
      <c r="AE34" s="4" t="str">
        <f>IF(M34&lt;=2,"1-2",IF(M34&lt;=4,"3-4",IF(M34&lt;=6,"5-6","7+")))</f>
        <v>5-6</v>
      </c>
    </row>
    <row r="35">
      <c r="A35" s="4" t="inlineStr">
        <is>
          <t>api_versioning</t>
        </is>
      </c>
      <c r="B35" s="4" t="inlineStr">
        <is>
          <t>API</t>
        </is>
      </c>
      <c r="C35" s="4" t="inlineStr">
        <is>
          <t>Java</t>
        </is>
      </c>
      <c r="D35" s="4" t="inlineStr">
        <is>
          <t>v2.1</t>
        </is>
      </c>
      <c r="E35" s="40" t="n">
        <v>45706</v>
      </c>
      <c r="F35" s="4" t="n">
        <v>4</v>
      </c>
      <c r="G35" s="4" t="n">
        <v>833</v>
      </c>
      <c r="H35" s="18" t="n">
        <v>16.18</v>
      </c>
      <c r="I35" s="18" t="n">
        <v>12.85</v>
      </c>
      <c r="J35" s="29" t="n">
        <v>446.1</v>
      </c>
      <c r="K35" s="29" t="n">
        <v>53.4</v>
      </c>
      <c r="L35" s="4" t="n">
        <v>11</v>
      </c>
      <c r="M35" s="4" t="n">
        <v>4</v>
      </c>
      <c r="N35" s="4" t="n">
        <v>519</v>
      </c>
      <c r="O35" s="4" t="n">
        <v>1</v>
      </c>
      <c r="P35" s="4" t="n">
        <v>0</v>
      </c>
      <c r="Q35" s="4" t="n">
        <v>0</v>
      </c>
      <c r="R35" s="4" t="n">
        <v>0</v>
      </c>
      <c r="S35" s="4">
        <f>SUM(O35:R35)</f>
        <v>1</v>
      </c>
      <c r="T35" s="18">
        <f>J35/L35</f>
        <v>40.5545454545455</v>
      </c>
      <c r="U35" s="18">
        <f>S35/G35*1000</f>
        <v>1.20048019207683</v>
      </c>
      <c r="V35" s="4">
        <f>Q35+R35</f>
        <v>0</v>
      </c>
      <c r="W35" s="29">
        <f>100*((J35-MIN($J$2:$J$236))/(MAX($J$2:$J$236)-MIN($J$2:$J$236))+(H35-MIN($H$2:$H$236))/(MAX($H$2:$H$236)-MIN($H$2:$H$236))+(1-(K35-MIN($K$2:$K$236))/(MAX($K$2:$K$236)-MIN($K$2:$K$236))))/3</f>
        <v>46.698130125636</v>
      </c>
      <c r="X35" s="4" t="n">
        <v>2</v>
      </c>
      <c r="Y35" s="4" t="n">
        <v>0</v>
      </c>
      <c r="Z35" s="4" t="n">
        <v>0</v>
      </c>
      <c r="AA35" s="4" t="inlineStr">
        <is>
          <t>No</t>
        </is>
      </c>
      <c r="AB35" s="4" t="str">
        <f>IF(H35&lt;=Complexity!$C$11,"Q1 (lowest)",IF(H35&lt;=Complexity!$C$12,"Q2",IF(H35&lt;=Complexity!$C$13,"Q3","Q4 (highest)")))</f>
        <v>Q3</v>
      </c>
      <c r="AC35" s="4" t="str">
        <f>IF(J35&lt;=Churn!$C$11,"Q1 (lowest)",IF(J35&lt;=Churn!$C$12,"Q2",IF(J35&lt;=Churn!$C$13,"Q3","Q4 (highest)")))</f>
        <v>Q4 (highest)</v>
      </c>
      <c r="AD35" s="4" t="str">
        <f>IF(K35&lt;=40,"&lt;=40%",IF(K35&lt;=60,"40-60%",IF(K35&lt;=80,"60-80%","80%+")))</f>
        <v>40-60%</v>
      </c>
      <c r="AE35" s="4" t="str">
        <f>IF(M35&lt;=2,"1-2",IF(M35&lt;=4,"3-4",IF(M35&lt;=6,"5-6","7+")))</f>
        <v>3-4</v>
      </c>
    </row>
    <row r="36">
      <c r="A36" s="4" t="inlineStr">
        <is>
          <t>api_versioning</t>
        </is>
      </c>
      <c r="B36" s="4" t="inlineStr">
        <is>
          <t>API</t>
        </is>
      </c>
      <c r="C36" s="4" t="inlineStr">
        <is>
          <t>Java</t>
        </is>
      </c>
      <c r="D36" s="4" t="inlineStr">
        <is>
          <t>v3.0</t>
        </is>
      </c>
      <c r="E36" s="40" t="n">
        <v>45839</v>
      </c>
      <c r="F36" s="4" t="n">
        <v>5</v>
      </c>
      <c r="G36" s="4" t="n">
        <v>833</v>
      </c>
      <c r="H36" s="18" t="n">
        <v>15.06</v>
      </c>
      <c r="I36" s="18" t="n">
        <v>9.75</v>
      </c>
      <c r="J36" s="29" t="n">
        <v>594.2</v>
      </c>
      <c r="K36" s="29" t="n">
        <v>59.5</v>
      </c>
      <c r="L36" s="4" t="n">
        <v>24</v>
      </c>
      <c r="M36" s="4" t="n">
        <v>5</v>
      </c>
      <c r="N36" s="4" t="n">
        <v>671</v>
      </c>
      <c r="O36" s="4" t="n">
        <v>1</v>
      </c>
      <c r="P36" s="4" t="n">
        <v>0</v>
      </c>
      <c r="Q36" s="4" t="n">
        <v>0</v>
      </c>
      <c r="R36" s="4" t="n">
        <v>0</v>
      </c>
      <c r="S36" s="4">
        <f>SUM(O36:R36)</f>
        <v>1</v>
      </c>
      <c r="T36" s="18">
        <f>J36/L36</f>
        <v>24.7583333333333</v>
      </c>
      <c r="U36" s="18">
        <f>S36/G36*1000</f>
        <v>1.20048019207683</v>
      </c>
      <c r="V36" s="4">
        <f>Q36+R36</f>
        <v>0</v>
      </c>
      <c r="W36" s="29">
        <f>100*((J36-MIN($J$2:$J$236))/(MAX($J$2:$J$236)-MIN($J$2:$J$236))+(H36-MIN($H$2:$H$236))/(MAX($H$2:$H$236)-MIN($H$2:$H$236))+(1-(K36-MIN($K$2:$K$236))/(MAX($K$2:$K$236)-MIN($K$2:$K$236))))/3</f>
        <v>46.7883533222765</v>
      </c>
      <c r="X36" s="4" t="n">
        <v>1</v>
      </c>
      <c r="Y36" s="4" t="n">
        <v>0</v>
      </c>
      <c r="Z36" s="4" t="n">
        <v>0</v>
      </c>
      <c r="AA36" s="4" t="inlineStr">
        <is>
          <t>No</t>
        </is>
      </c>
      <c r="AB36" s="4" t="str">
        <f>IF(H36&lt;=Complexity!$C$11,"Q1 (lowest)",IF(H36&lt;=Complexity!$C$12,"Q2",IF(H36&lt;=Complexity!$C$13,"Q3","Q4 (highest)")))</f>
        <v>Q3</v>
      </c>
      <c r="AC36" s="4" t="str">
        <f>IF(J36&lt;=Churn!$C$11,"Q1 (lowest)",IF(J36&lt;=Churn!$C$12,"Q2",IF(J36&lt;=Churn!$C$13,"Q3","Q4 (highest)")))</f>
        <v>Q4 (highest)</v>
      </c>
      <c r="AD36" s="4" t="str">
        <f>IF(K36&lt;=40,"&lt;=40%",IF(K36&lt;=60,"40-60%",IF(K36&lt;=80,"60-80%","80%+")))</f>
        <v>40-60%</v>
      </c>
      <c r="AE36" s="4" t="str">
        <f>IF(M36&lt;=2,"1-2",IF(M36&lt;=4,"3-4",IF(M36&lt;=6,"5-6","7+")))</f>
        <v>5-6</v>
      </c>
    </row>
    <row r="37">
      <c r="A37" s="4" t="inlineStr">
        <is>
          <t>api_webhooks</t>
        </is>
      </c>
      <c r="B37" s="4" t="inlineStr">
        <is>
          <t>API</t>
        </is>
      </c>
      <c r="C37" s="4" t="inlineStr">
        <is>
          <t>Python</t>
        </is>
      </c>
      <c r="D37" s="4" t="inlineStr">
        <is>
          <t>v1.0</t>
        </is>
      </c>
      <c r="E37" s="40" t="n">
        <v>45306</v>
      </c>
      <c r="F37" s="4" t="n">
        <v>1</v>
      </c>
      <c r="G37" s="4" t="n">
        <v>2285</v>
      </c>
      <c r="H37" s="18" t="n">
        <v>20.33</v>
      </c>
      <c r="I37" s="18" t="n">
        <v>7.05</v>
      </c>
      <c r="J37" s="29" t="n">
        <v>165.7</v>
      </c>
      <c r="K37" s="29" t="n">
        <v>31.1</v>
      </c>
      <c r="L37" s="4" t="n">
        <v>4</v>
      </c>
      <c r="M37" s="4" t="n">
        <v>2</v>
      </c>
      <c r="N37" s="4" t="n">
        <v>266</v>
      </c>
      <c r="O37" s="4" t="n">
        <v>2</v>
      </c>
      <c r="P37" s="4" t="n">
        <v>0</v>
      </c>
      <c r="Q37" s="4" t="n">
        <v>0</v>
      </c>
      <c r="R37" s="4" t="n">
        <v>0</v>
      </c>
      <c r="S37" s="4">
        <f>SUM(O37:R37)</f>
        <v>2</v>
      </c>
      <c r="T37" s="18">
        <f>J37/L37</f>
        <v>41.425</v>
      </c>
      <c r="U37" s="18">
        <f>S37/G37*1000</f>
        <v>0.87527352297593</v>
      </c>
      <c r="V37" s="4">
        <f>Q37+R37</f>
        <v>0</v>
      </c>
      <c r="W37" s="29">
        <f>100*((J37-MIN($J$2:$J$236))/(MAX($J$2:$J$236)-MIN($J$2:$J$236))+(H37-MIN($H$2:$H$236))/(MAX($H$2:$H$236)-MIN($H$2:$H$236))+(1-(K37-MIN($K$2:$K$236))/(MAX($K$2:$K$236)-MIN($K$2:$K$236))))/3</f>
        <v>53.5840686523544</v>
      </c>
      <c r="X37" s="4" t="n">
        <v>0</v>
      </c>
      <c r="Y37" s="4" t="n">
        <v>1</v>
      </c>
      <c r="Z37" s="4" t="n">
        <v>0</v>
      </c>
      <c r="AA37" s="4" t="inlineStr">
        <is>
          <t>No</t>
        </is>
      </c>
      <c r="AB37" s="4" t="str">
        <f>IF(H37&lt;=Complexity!$C$11,"Q1 (lowest)",IF(H37&lt;=Complexity!$C$12,"Q2",IF(H37&lt;=Complexity!$C$13,"Q3","Q4 (highest)")))</f>
        <v>Q4 (highest)</v>
      </c>
      <c r="AC37" s="4" t="str">
        <f>IF(J37&lt;=Churn!$C$11,"Q1 (lowest)",IF(J37&lt;=Churn!$C$12,"Q2",IF(J37&lt;=Churn!$C$13,"Q3","Q4 (highest)")))</f>
        <v>Q2</v>
      </c>
      <c r="AD37" s="4" t="str">
        <f>IF(K37&lt;=40,"&lt;=40%",IF(K37&lt;=60,"40-60%",IF(K37&lt;=80,"60-80%","80%+")))</f>
        <v>&lt;=40%</v>
      </c>
      <c r="AE37" s="4" t="str">
        <f>IF(M37&lt;=2,"1-2",IF(M37&lt;=4,"3-4",IF(M37&lt;=6,"5-6","7+")))</f>
        <v>1-2</v>
      </c>
    </row>
    <row r="38">
      <c r="A38" s="4" t="inlineStr">
        <is>
          <t>api_webhooks</t>
        </is>
      </c>
      <c r="B38" s="4" t="inlineStr">
        <is>
          <t>API</t>
        </is>
      </c>
      <c r="C38" s="4" t="inlineStr">
        <is>
          <t>Python</t>
        </is>
      </c>
      <c r="D38" s="4" t="inlineStr">
        <is>
          <t>v1.1</t>
        </is>
      </c>
      <c r="E38" s="40" t="n">
        <v>45432</v>
      </c>
      <c r="F38" s="4" t="n">
        <v>2</v>
      </c>
      <c r="G38" s="4" t="n">
        <v>2285</v>
      </c>
      <c r="H38" s="18" t="n">
        <v>13.18</v>
      </c>
      <c r="I38" s="18" t="n">
        <v>8.77</v>
      </c>
      <c r="J38" s="29" t="n">
        <v>118.5</v>
      </c>
      <c r="K38" s="29" t="n">
        <v>37.4</v>
      </c>
      <c r="L38" s="4" t="n">
        <v>5</v>
      </c>
      <c r="M38" s="4" t="n">
        <v>2</v>
      </c>
      <c r="N38" s="4" t="n">
        <v>208</v>
      </c>
      <c r="O38" s="4" t="n">
        <v>1</v>
      </c>
      <c r="P38" s="4" t="n">
        <v>0</v>
      </c>
      <c r="Q38" s="4" t="n">
        <v>0</v>
      </c>
      <c r="R38" s="4" t="n">
        <v>0</v>
      </c>
      <c r="S38" s="4">
        <f>SUM(O38:R38)</f>
        <v>1</v>
      </c>
      <c r="T38" s="18">
        <f>J38/L38</f>
        <v>23.7</v>
      </c>
      <c r="U38" s="18">
        <f>S38/G38*1000</f>
        <v>0.437636761487965</v>
      </c>
      <c r="V38" s="4">
        <f>Q38+R38</f>
        <v>0</v>
      </c>
      <c r="W38" s="29">
        <f>100*((J38-MIN($J$2:$J$236))/(MAX($J$2:$J$236)-MIN($J$2:$J$236))+(H38-MIN($H$2:$H$236))/(MAX($H$2:$H$236)-MIN($H$2:$H$236))+(1-(K38-MIN($K$2:$K$236))/(MAX($K$2:$K$236)-MIN($K$2:$K$236))))/3</f>
        <v>41.8268791522336</v>
      </c>
      <c r="X38" s="4" t="n">
        <v>2</v>
      </c>
      <c r="Y38" s="4" t="n">
        <v>1</v>
      </c>
      <c r="Z38" s="4" t="n">
        <v>0</v>
      </c>
      <c r="AA38" s="4" t="inlineStr">
        <is>
          <t>No</t>
        </is>
      </c>
      <c r="AB38" s="4" t="str">
        <f>IF(H38&lt;=Complexity!$C$11,"Q1 (lowest)",IF(H38&lt;=Complexity!$C$12,"Q2",IF(H38&lt;=Complexity!$C$13,"Q3","Q4 (highest)")))</f>
        <v>Q2</v>
      </c>
      <c r="AC38" s="4" t="str">
        <f>IF(J38&lt;=Churn!$C$11,"Q1 (lowest)",IF(J38&lt;=Churn!$C$12,"Q2",IF(J38&lt;=Churn!$C$13,"Q3","Q4 (highest)")))</f>
        <v>Q1 (lowest)</v>
      </c>
      <c r="AD38" s="4" t="str">
        <f>IF(K38&lt;=40,"&lt;=40%",IF(K38&lt;=60,"40-60%",IF(K38&lt;=80,"60-80%","80%+")))</f>
        <v>&lt;=40%</v>
      </c>
      <c r="AE38" s="4" t="str">
        <f>IF(M38&lt;=2,"1-2",IF(M38&lt;=4,"3-4",IF(M38&lt;=6,"5-6","7+")))</f>
        <v>1-2</v>
      </c>
    </row>
    <row r="39">
      <c r="A39" s="4" t="inlineStr">
        <is>
          <t>api_webhooks</t>
        </is>
      </c>
      <c r="B39" s="4" t="inlineStr">
        <is>
          <t>API</t>
        </is>
      </c>
      <c r="C39" s="4" t="inlineStr">
        <is>
          <t>Python</t>
        </is>
      </c>
      <c r="D39" s="4" t="inlineStr">
        <is>
          <t>v2.0</t>
        </is>
      </c>
      <c r="E39" s="40" t="n">
        <v>45545</v>
      </c>
      <c r="F39" s="4" t="n">
        <v>3</v>
      </c>
      <c r="G39" s="4" t="n">
        <v>2285</v>
      </c>
      <c r="H39" s="18" t="n">
        <v>21.57</v>
      </c>
      <c r="I39" s="18" t="n">
        <v>13.64</v>
      </c>
      <c r="J39" s="29" t="n">
        <v>104</v>
      </c>
      <c r="K39" s="29" t="n">
        <v>28.2</v>
      </c>
      <c r="L39" s="4" t="n">
        <v>2</v>
      </c>
      <c r="M39" s="4" t="n">
        <v>1</v>
      </c>
      <c r="N39" s="4" t="n">
        <v>164</v>
      </c>
      <c r="O39" s="4" t="n">
        <v>0</v>
      </c>
      <c r="P39" s="4" t="n">
        <v>1</v>
      </c>
      <c r="Q39" s="4" t="n">
        <v>0</v>
      </c>
      <c r="R39" s="4" t="n">
        <v>0</v>
      </c>
      <c r="S39" s="4">
        <f>SUM(O39:R39)</f>
        <v>1</v>
      </c>
      <c r="T39" s="18">
        <f>J39/L39</f>
        <v>52</v>
      </c>
      <c r="U39" s="18">
        <f>S39/G39*1000</f>
        <v>0.437636761487965</v>
      </c>
      <c r="V39" s="4">
        <f>Q39+R39</f>
        <v>0</v>
      </c>
      <c r="W39" s="29">
        <f>100*((J39-MIN($J$2:$J$236))/(MAX($J$2:$J$236)-MIN($J$2:$J$236))+(H39-MIN($H$2:$H$236))/(MAX($H$2:$H$236)-MIN($H$2:$H$236))+(1-(K39-MIN($K$2:$K$236))/(MAX($K$2:$K$236)-MIN($K$2:$K$236))))/3</f>
        <v>54.5310511754805</v>
      </c>
      <c r="X39" s="4" t="n">
        <v>1</v>
      </c>
      <c r="Y39" s="4" t="n">
        <v>1</v>
      </c>
      <c r="Z39" s="4" t="n">
        <v>0</v>
      </c>
      <c r="AA39" s="4" t="inlineStr">
        <is>
          <t>No</t>
        </is>
      </c>
      <c r="AB39" s="4" t="str">
        <f>IF(H39&lt;=Complexity!$C$11,"Q1 (lowest)",IF(H39&lt;=Complexity!$C$12,"Q2",IF(H39&lt;=Complexity!$C$13,"Q3","Q4 (highest)")))</f>
        <v>Q4 (highest)</v>
      </c>
      <c r="AC39" s="4" t="str">
        <f>IF(J39&lt;=Churn!$C$11,"Q1 (lowest)",IF(J39&lt;=Churn!$C$12,"Q2",IF(J39&lt;=Churn!$C$13,"Q3","Q4 (highest)")))</f>
        <v>Q1 (lowest)</v>
      </c>
      <c r="AD39" s="4" t="str">
        <f>IF(K39&lt;=40,"&lt;=40%",IF(K39&lt;=60,"40-60%",IF(K39&lt;=80,"60-80%","80%+")))</f>
        <v>&lt;=40%</v>
      </c>
      <c r="AE39" s="4" t="str">
        <f>IF(M39&lt;=2,"1-2",IF(M39&lt;=4,"3-4",IF(M39&lt;=6,"5-6","7+")))</f>
        <v>1-2</v>
      </c>
    </row>
    <row r="40">
      <c r="A40" s="4" t="inlineStr">
        <is>
          <t>api_webhooks</t>
        </is>
      </c>
      <c r="B40" s="4" t="inlineStr">
        <is>
          <t>API</t>
        </is>
      </c>
      <c r="C40" s="4" t="inlineStr">
        <is>
          <t>Python</t>
        </is>
      </c>
      <c r="D40" s="4" t="inlineStr">
        <is>
          <t>v2.1</t>
        </is>
      </c>
      <c r="E40" s="40" t="n">
        <v>45706</v>
      </c>
      <c r="F40" s="4" t="n">
        <v>4</v>
      </c>
      <c r="G40" s="4" t="n">
        <v>2285</v>
      </c>
      <c r="H40" s="18" t="n">
        <v>11.35</v>
      </c>
      <c r="I40" s="18" t="n">
        <v>7.6</v>
      </c>
      <c r="J40" s="29" t="n">
        <v>130.2</v>
      </c>
      <c r="K40" s="29" t="n">
        <v>45</v>
      </c>
      <c r="L40" s="4" t="n">
        <v>3</v>
      </c>
      <c r="M40" s="4" t="n">
        <v>2</v>
      </c>
      <c r="N40" s="4" t="n">
        <v>173</v>
      </c>
      <c r="O40" s="4" t="n">
        <v>0</v>
      </c>
      <c r="P40" s="4" t="n">
        <v>1</v>
      </c>
      <c r="Q40" s="4" t="n">
        <v>0</v>
      </c>
      <c r="R40" s="4" t="n">
        <v>0</v>
      </c>
      <c r="S40" s="4">
        <f>SUM(O40:R40)</f>
        <v>1</v>
      </c>
      <c r="T40" s="18">
        <f>J40/L40</f>
        <v>43.4</v>
      </c>
      <c r="U40" s="18">
        <f>S40/G40*1000</f>
        <v>0.437636761487965</v>
      </c>
      <c r="V40" s="4">
        <f>Q40+R40</f>
        <v>0</v>
      </c>
      <c r="W40" s="29">
        <f>100*((J40-MIN($J$2:$J$236))/(MAX($J$2:$J$236)-MIN($J$2:$J$236))+(H40-MIN($H$2:$H$236))/(MAX($H$2:$H$236)-MIN($H$2:$H$236))+(1-(K40-MIN($K$2:$K$236))/(MAX($K$2:$K$236)-MIN($K$2:$K$236))))/3</f>
        <v>36.7394345472216</v>
      </c>
      <c r="X40" s="4" t="n">
        <v>1</v>
      </c>
      <c r="Y40" s="4" t="n">
        <v>1</v>
      </c>
      <c r="Z40" s="4" t="n">
        <v>0</v>
      </c>
      <c r="AA40" s="4" t="inlineStr">
        <is>
          <t>No</t>
        </is>
      </c>
      <c r="AB40" s="4" t="str">
        <f>IF(H40&lt;=Complexity!$C$11,"Q1 (lowest)",IF(H40&lt;=Complexity!$C$12,"Q2",IF(H40&lt;=Complexity!$C$13,"Q3","Q4 (highest)")))</f>
        <v>Q2</v>
      </c>
      <c r="AC40" s="4" t="str">
        <f>IF(J40&lt;=Churn!$C$11,"Q1 (lowest)",IF(J40&lt;=Churn!$C$12,"Q2",IF(J40&lt;=Churn!$C$13,"Q3","Q4 (highest)")))</f>
        <v>Q1 (lowest)</v>
      </c>
      <c r="AD40" s="4" t="str">
        <f>IF(K40&lt;=40,"&lt;=40%",IF(K40&lt;=60,"40-60%",IF(K40&lt;=80,"60-80%","80%+")))</f>
        <v>40-60%</v>
      </c>
      <c r="AE40" s="4" t="str">
        <f>IF(M40&lt;=2,"1-2",IF(M40&lt;=4,"3-4",IF(M40&lt;=6,"5-6","7+")))</f>
        <v>1-2</v>
      </c>
    </row>
    <row r="41">
      <c r="A41" s="4" t="inlineStr">
        <is>
          <t>api_webhooks</t>
        </is>
      </c>
      <c r="B41" s="4" t="inlineStr">
        <is>
          <t>API</t>
        </is>
      </c>
      <c r="C41" s="4" t="inlineStr">
        <is>
          <t>Python</t>
        </is>
      </c>
      <c r="D41" s="4" t="inlineStr">
        <is>
          <t>v3.0</t>
        </is>
      </c>
      <c r="E41" s="40" t="n">
        <v>45839</v>
      </c>
      <c r="F41" s="4" t="n">
        <v>5</v>
      </c>
      <c r="G41" s="4" t="n">
        <v>2285</v>
      </c>
      <c r="H41" s="18" t="n">
        <v>13.69</v>
      </c>
      <c r="I41" s="18" t="n">
        <v>11.97</v>
      </c>
      <c r="J41" s="29" t="n">
        <v>100.2</v>
      </c>
      <c r="K41" s="29" t="n">
        <v>29.5</v>
      </c>
      <c r="L41" s="4" t="n">
        <v>2</v>
      </c>
      <c r="M41" s="4" t="n">
        <v>1</v>
      </c>
      <c r="N41" s="4" t="n">
        <v>120</v>
      </c>
      <c r="O41" s="4" t="n">
        <v>0</v>
      </c>
      <c r="P41" s="4" t="n">
        <v>0</v>
      </c>
      <c r="Q41" s="4" t="n">
        <v>0</v>
      </c>
      <c r="R41" s="4" t="n">
        <v>0</v>
      </c>
      <c r="S41" s="4">
        <f>SUM(O41:R41)</f>
        <v>0</v>
      </c>
      <c r="T41" s="18">
        <f>J41/L41</f>
        <v>50.1</v>
      </c>
      <c r="U41" s="18">
        <f>S41/G41*1000</f>
        <v>0</v>
      </c>
      <c r="V41" s="4">
        <f>Q41+R41</f>
        <v>0</v>
      </c>
      <c r="W41" s="29">
        <f>100*((J41-MIN($J$2:$J$236))/(MAX($J$2:$J$236)-MIN($J$2:$J$236))+(H41-MIN($H$2:$H$236))/(MAX($H$2:$H$236)-MIN($H$2:$H$236))+(1-(K41-MIN($K$2:$K$236))/(MAX($K$2:$K$236)-MIN($K$2:$K$236))))/3</f>
        <v>45.4688830787296</v>
      </c>
      <c r="X41" s="4" t="n">
        <v>1</v>
      </c>
      <c r="Y41" s="4" t="n">
        <v>1</v>
      </c>
      <c r="Z41" s="4" t="n">
        <v>0</v>
      </c>
      <c r="AA41" s="4" t="inlineStr">
        <is>
          <t>No</t>
        </is>
      </c>
      <c r="AB41" s="4" t="str">
        <f>IF(H41&lt;=Complexity!$C$11,"Q1 (lowest)",IF(H41&lt;=Complexity!$C$12,"Q2",IF(H41&lt;=Complexity!$C$13,"Q3","Q4 (highest)")))</f>
        <v>Q2</v>
      </c>
      <c r="AC41" s="4" t="str">
        <f>IF(J41&lt;=Churn!$C$11,"Q1 (lowest)",IF(J41&lt;=Churn!$C$12,"Q2",IF(J41&lt;=Churn!$C$13,"Q3","Q4 (highest)")))</f>
        <v>Q1 (lowest)</v>
      </c>
      <c r="AD41" s="4" t="str">
        <f>IF(K41&lt;=40,"&lt;=40%",IF(K41&lt;=60,"40-60%",IF(K41&lt;=80,"60-80%","80%+")))</f>
        <v>&lt;=40%</v>
      </c>
      <c r="AE41" s="4" t="str">
        <f>IF(M41&lt;=2,"1-2",IF(M41&lt;=4,"3-4",IF(M41&lt;=6,"5-6","7+")))</f>
        <v>1-2</v>
      </c>
    </row>
    <row r="42">
      <c r="A42" s="4" t="inlineStr">
        <is>
          <t>auth_audit</t>
        </is>
      </c>
      <c r="B42" s="4" t="inlineStr">
        <is>
          <t>Auth</t>
        </is>
      </c>
      <c r="C42" s="4" t="inlineStr">
        <is>
          <t>Java</t>
        </is>
      </c>
      <c r="D42" s="4" t="inlineStr">
        <is>
          <t>v1.0</t>
        </is>
      </c>
      <c r="E42" s="40" t="n">
        <v>45306</v>
      </c>
      <c r="F42" s="4" t="n">
        <v>1</v>
      </c>
      <c r="G42" s="4" t="n">
        <v>3186</v>
      </c>
      <c r="H42" s="18" t="n">
        <v>18.26</v>
      </c>
      <c r="I42" s="18" t="n">
        <v>11.03</v>
      </c>
      <c r="J42" s="29" t="n">
        <v>76.40000000000001</v>
      </c>
      <c r="K42" s="29" t="n">
        <v>67</v>
      </c>
      <c r="L42" s="4" t="n">
        <v>2</v>
      </c>
      <c r="M42" s="4" t="n">
        <v>2</v>
      </c>
      <c r="N42" s="4" t="n">
        <v>116</v>
      </c>
      <c r="O42" s="4" t="n">
        <v>0</v>
      </c>
      <c r="P42" s="4" t="n">
        <v>0</v>
      </c>
      <c r="Q42" s="4" t="n">
        <v>0</v>
      </c>
      <c r="R42" s="4" t="n">
        <v>0</v>
      </c>
      <c r="S42" s="4">
        <f>SUM(O42:R42)</f>
        <v>0</v>
      </c>
      <c r="T42" s="18">
        <f>J42/L42</f>
        <v>38.2</v>
      </c>
      <c r="U42" s="18">
        <f>S42/G42*1000</f>
        <v>0</v>
      </c>
      <c r="V42" s="4">
        <f>Q42+R42</f>
        <v>0</v>
      </c>
      <c r="W42" s="29">
        <f>100*((J42-MIN($J$2:$J$236))/(MAX($J$2:$J$236)-MIN($J$2:$J$236))+(H42-MIN($H$2:$H$236))/(MAX($H$2:$H$236)-MIN($H$2:$H$236))+(1-(K42-MIN($K$2:$K$236))/(MAX($K$2:$K$236)-MIN($K$2:$K$236))))/3</f>
        <v>32.5678266426996</v>
      </c>
      <c r="X42" s="4" t="n">
        <v>0</v>
      </c>
      <c r="Y42" s="4" t="n">
        <v>0</v>
      </c>
      <c r="Z42" s="4" t="n">
        <v>0</v>
      </c>
      <c r="AA42" s="4" t="inlineStr">
        <is>
          <t>No</t>
        </is>
      </c>
      <c r="AB42" s="4" t="str">
        <f>IF(H42&lt;=Complexity!$C$11,"Q1 (lowest)",IF(H42&lt;=Complexity!$C$12,"Q2",IF(H42&lt;=Complexity!$C$13,"Q3","Q4 (highest)")))</f>
        <v>Q3</v>
      </c>
      <c r="AC42" s="4" t="str">
        <f>IF(J42&lt;=Churn!$C$11,"Q1 (lowest)",IF(J42&lt;=Churn!$C$12,"Q2",IF(J42&lt;=Churn!$C$13,"Q3","Q4 (highest)")))</f>
        <v>Q1 (lowest)</v>
      </c>
      <c r="AD42" s="4" t="str">
        <f>IF(K42&lt;=40,"&lt;=40%",IF(K42&lt;=60,"40-60%",IF(K42&lt;=80,"60-80%","80%+")))</f>
        <v>60-80%</v>
      </c>
      <c r="AE42" s="4" t="str">
        <f>IF(M42&lt;=2,"1-2",IF(M42&lt;=4,"3-4",IF(M42&lt;=6,"5-6","7+")))</f>
        <v>1-2</v>
      </c>
    </row>
    <row r="43">
      <c r="A43" s="4" t="inlineStr">
        <is>
          <t>auth_audit</t>
        </is>
      </c>
      <c r="B43" s="4" t="inlineStr">
        <is>
          <t>Auth</t>
        </is>
      </c>
      <c r="C43" s="4" t="inlineStr">
        <is>
          <t>Java</t>
        </is>
      </c>
      <c r="D43" s="4" t="inlineStr">
        <is>
          <t>v1.1</t>
        </is>
      </c>
      <c r="E43" s="40" t="n">
        <v>45432</v>
      </c>
      <c r="F43" s="4" t="n">
        <v>2</v>
      </c>
      <c r="G43" s="4" t="n">
        <v>3186</v>
      </c>
      <c r="H43" s="18" t="n">
        <v>17.65</v>
      </c>
      <c r="I43" s="18" t="n">
        <v>12.89</v>
      </c>
      <c r="J43" s="29" t="n">
        <v>237.5</v>
      </c>
      <c r="K43" s="29" t="n">
        <v>74.7</v>
      </c>
      <c r="L43" s="4" t="n">
        <v>11</v>
      </c>
      <c r="M43" s="4" t="n">
        <v>3</v>
      </c>
      <c r="N43" s="4" t="n">
        <v>424</v>
      </c>
      <c r="O43" s="4" t="n">
        <v>0</v>
      </c>
      <c r="P43" s="4" t="n">
        <v>0</v>
      </c>
      <c r="Q43" s="4" t="n">
        <v>0</v>
      </c>
      <c r="R43" s="4" t="n">
        <v>0</v>
      </c>
      <c r="S43" s="4">
        <f>SUM(O43:R43)</f>
        <v>0</v>
      </c>
      <c r="T43" s="18">
        <f>J43/L43</f>
        <v>21.5909090909091</v>
      </c>
      <c r="U43" s="18">
        <f>S43/G43*1000</f>
        <v>0</v>
      </c>
      <c r="V43" s="4">
        <f>Q43+R43</f>
        <v>0</v>
      </c>
      <c r="W43" s="29">
        <f>100*((J43-MIN($J$2:$J$236))/(MAX($J$2:$J$236)-MIN($J$2:$J$236))+(H43-MIN($H$2:$H$236))/(MAX($H$2:$H$236)-MIN($H$2:$H$236))+(1-(K43-MIN($K$2:$K$236))/(MAX($K$2:$K$236)-MIN($K$2:$K$236))))/3</f>
        <v>32.8263045384737</v>
      </c>
      <c r="X43" s="4" t="n">
        <v>0</v>
      </c>
      <c r="Y43" s="4" t="n">
        <v>0</v>
      </c>
      <c r="Z43" s="4" t="n">
        <v>0</v>
      </c>
      <c r="AA43" s="4" t="inlineStr">
        <is>
          <t>No</t>
        </is>
      </c>
      <c r="AB43" s="4" t="str">
        <f>IF(H43&lt;=Complexity!$C$11,"Q1 (lowest)",IF(H43&lt;=Complexity!$C$12,"Q2",IF(H43&lt;=Complexity!$C$13,"Q3","Q4 (highest)")))</f>
        <v>Q3</v>
      </c>
      <c r="AC43" s="4" t="str">
        <f>IF(J43&lt;=Churn!$C$11,"Q1 (lowest)",IF(J43&lt;=Churn!$C$12,"Q2",IF(J43&lt;=Churn!$C$13,"Q3","Q4 (highest)")))</f>
        <v>Q2</v>
      </c>
      <c r="AD43" s="4" t="str">
        <f>IF(K43&lt;=40,"&lt;=40%",IF(K43&lt;=60,"40-60%",IF(K43&lt;=80,"60-80%","80%+")))</f>
        <v>60-80%</v>
      </c>
      <c r="AE43" s="4" t="str">
        <f>IF(M43&lt;=2,"1-2",IF(M43&lt;=4,"3-4",IF(M43&lt;=6,"5-6","7+")))</f>
        <v>3-4</v>
      </c>
    </row>
    <row r="44">
      <c r="A44" s="4" t="inlineStr">
        <is>
          <t>auth_audit</t>
        </is>
      </c>
      <c r="B44" s="4" t="inlineStr">
        <is>
          <t>Auth</t>
        </is>
      </c>
      <c r="C44" s="4" t="inlineStr">
        <is>
          <t>Java</t>
        </is>
      </c>
      <c r="D44" s="4" t="inlineStr">
        <is>
          <t>v2.0</t>
        </is>
      </c>
      <c r="E44" s="40" t="n">
        <v>45545</v>
      </c>
      <c r="F44" s="4" t="n">
        <v>3</v>
      </c>
      <c r="G44" s="4" t="n">
        <v>3186</v>
      </c>
      <c r="H44" s="18" t="n">
        <v>22.05</v>
      </c>
      <c r="I44" s="18" t="n">
        <v>13.54</v>
      </c>
      <c r="J44" s="29" t="n">
        <v>322.5</v>
      </c>
      <c r="K44" s="29" t="n">
        <v>77</v>
      </c>
      <c r="L44" s="4" t="n">
        <v>13</v>
      </c>
      <c r="M44" s="4" t="n">
        <v>4</v>
      </c>
      <c r="N44" s="4" t="n">
        <v>512</v>
      </c>
      <c r="O44" s="4" t="n">
        <v>1</v>
      </c>
      <c r="P44" s="4" t="n">
        <v>0</v>
      </c>
      <c r="Q44" s="4" t="n">
        <v>1</v>
      </c>
      <c r="R44" s="4" t="n">
        <v>0</v>
      </c>
      <c r="S44" s="4">
        <f>SUM(O44:R44)</f>
        <v>2</v>
      </c>
      <c r="T44" s="18">
        <f>J44/L44</f>
        <v>24.8076923076923</v>
      </c>
      <c r="U44" s="18">
        <f>S44/G44*1000</f>
        <v>0.627746390458255</v>
      </c>
      <c r="V44" s="4">
        <f>Q44+R44</f>
        <v>1</v>
      </c>
      <c r="W44" s="29">
        <f>100*((J44-MIN($J$2:$J$236))/(MAX($J$2:$J$236)-MIN($J$2:$J$236))+(H44-MIN($H$2:$H$236))/(MAX($H$2:$H$236)-MIN($H$2:$H$236))+(1-(K44-MIN($K$2:$K$236))/(MAX($K$2:$K$236)-MIN($K$2:$K$236))))/3</f>
        <v>38.7790447278261</v>
      </c>
      <c r="X44" s="4" t="n">
        <v>0</v>
      </c>
      <c r="Y44" s="4" t="n">
        <v>0</v>
      </c>
      <c r="Z44" s="4" t="n">
        <v>0</v>
      </c>
      <c r="AA44" s="4" t="inlineStr">
        <is>
          <t>No</t>
        </is>
      </c>
      <c r="AB44" s="4" t="str">
        <f>IF(H44&lt;=Complexity!$C$11,"Q1 (lowest)",IF(H44&lt;=Complexity!$C$12,"Q2",IF(H44&lt;=Complexity!$C$13,"Q3","Q4 (highest)")))</f>
        <v>Q4 (highest)</v>
      </c>
      <c r="AC44" s="4" t="str">
        <f>IF(J44&lt;=Churn!$C$11,"Q1 (lowest)",IF(J44&lt;=Churn!$C$12,"Q2",IF(J44&lt;=Churn!$C$13,"Q3","Q4 (highest)")))</f>
        <v>Q3</v>
      </c>
      <c r="AD44" s="4" t="str">
        <f>IF(K44&lt;=40,"&lt;=40%",IF(K44&lt;=60,"40-60%",IF(K44&lt;=80,"60-80%","80%+")))</f>
        <v>60-80%</v>
      </c>
      <c r="AE44" s="4" t="str">
        <f>IF(M44&lt;=2,"1-2",IF(M44&lt;=4,"3-4",IF(M44&lt;=6,"5-6","7+")))</f>
        <v>3-4</v>
      </c>
    </row>
    <row r="45">
      <c r="A45" s="4" t="inlineStr">
        <is>
          <t>auth_audit</t>
        </is>
      </c>
      <c r="B45" s="4" t="inlineStr">
        <is>
          <t>Auth</t>
        </is>
      </c>
      <c r="C45" s="4" t="inlineStr">
        <is>
          <t>Java</t>
        </is>
      </c>
      <c r="D45" s="4" t="inlineStr">
        <is>
          <t>v2.1</t>
        </is>
      </c>
      <c r="E45" s="40" t="n">
        <v>45706</v>
      </c>
      <c r="F45" s="4" t="n">
        <v>4</v>
      </c>
      <c r="G45" s="4" t="n">
        <v>3186</v>
      </c>
      <c r="H45" s="18" t="n">
        <v>20.37</v>
      </c>
      <c r="I45" s="18" t="n">
        <v>13.87</v>
      </c>
      <c r="J45" s="29" t="n">
        <v>779.3</v>
      </c>
      <c r="K45" s="29" t="n">
        <v>69.5</v>
      </c>
      <c r="L45" s="4" t="n">
        <v>32</v>
      </c>
      <c r="M45" s="4" t="n">
        <v>5</v>
      </c>
      <c r="N45" s="4" t="n">
        <v>1090</v>
      </c>
      <c r="O45" s="4" t="n">
        <v>2</v>
      </c>
      <c r="P45" s="4" t="n">
        <v>0</v>
      </c>
      <c r="Q45" s="4" t="n">
        <v>1</v>
      </c>
      <c r="R45" s="4" t="n">
        <v>0</v>
      </c>
      <c r="S45" s="4">
        <f>SUM(O45:R45)</f>
        <v>3</v>
      </c>
      <c r="T45" s="18">
        <f>J45/L45</f>
        <v>24.353125</v>
      </c>
      <c r="U45" s="18">
        <f>S45/G45*1000</f>
        <v>0.941619585687382</v>
      </c>
      <c r="V45" s="4">
        <f>Q45+R45</f>
        <v>1</v>
      </c>
      <c r="W45" s="29">
        <f>100*((J45-MIN($J$2:$J$236))/(MAX($J$2:$J$236)-MIN($J$2:$J$236))+(H45-MIN($H$2:$H$236))/(MAX($H$2:$H$236)-MIN($H$2:$H$236))+(1-(K45-MIN($K$2:$K$236))/(MAX($K$2:$K$236)-MIN($K$2:$K$236))))/3</f>
        <v>52.9405977564069</v>
      </c>
      <c r="X45" s="4" t="n">
        <v>2</v>
      </c>
      <c r="Y45" s="4" t="n">
        <v>0</v>
      </c>
      <c r="Z45" s="4" t="n">
        <v>1</v>
      </c>
      <c r="AA45" s="4" t="inlineStr">
        <is>
          <t>No</t>
        </is>
      </c>
      <c r="AB45" s="4" t="str">
        <f>IF(H45&lt;=Complexity!$C$11,"Q1 (lowest)",IF(H45&lt;=Complexity!$C$12,"Q2",IF(H45&lt;=Complexity!$C$13,"Q3","Q4 (highest)")))</f>
        <v>Q4 (highest)</v>
      </c>
      <c r="AC45" s="4" t="str">
        <f>IF(J45&lt;=Churn!$C$11,"Q1 (lowest)",IF(J45&lt;=Churn!$C$12,"Q2",IF(J45&lt;=Churn!$C$13,"Q3","Q4 (highest)")))</f>
        <v>Q4 (highest)</v>
      </c>
      <c r="AD45" s="4" t="str">
        <f>IF(K45&lt;=40,"&lt;=40%",IF(K45&lt;=60,"40-60%",IF(K45&lt;=80,"60-80%","80%+")))</f>
        <v>60-80%</v>
      </c>
      <c r="AE45" s="4" t="str">
        <f>IF(M45&lt;=2,"1-2",IF(M45&lt;=4,"3-4",IF(M45&lt;=6,"5-6","7+")))</f>
        <v>5-6</v>
      </c>
    </row>
    <row r="46">
      <c r="A46" s="4" t="inlineStr">
        <is>
          <t>auth_audit</t>
        </is>
      </c>
      <c r="B46" s="4" t="inlineStr">
        <is>
          <t>Auth</t>
        </is>
      </c>
      <c r="C46" s="4" t="inlineStr">
        <is>
          <t>Java</t>
        </is>
      </c>
      <c r="D46" s="4" t="inlineStr">
        <is>
          <t>v3.0</t>
        </is>
      </c>
      <c r="E46" s="40" t="n">
        <v>45839</v>
      </c>
      <c r="F46" s="4" t="n">
        <v>5</v>
      </c>
      <c r="G46" s="4" t="n">
        <v>3186</v>
      </c>
      <c r="H46" s="18" t="n">
        <v>19.315</v>
      </c>
      <c r="I46" s="18" t="n">
        <v>7.05</v>
      </c>
      <c r="J46" s="29" t="n">
        <v>108.4</v>
      </c>
      <c r="K46" s="29" t="n">
        <v>67.3</v>
      </c>
      <c r="L46" s="4" t="n">
        <v>3</v>
      </c>
      <c r="M46" s="4" t="n">
        <v>1</v>
      </c>
      <c r="N46" s="4" t="n">
        <v>162</v>
      </c>
      <c r="O46" s="4" t="n">
        <v>0</v>
      </c>
      <c r="P46" s="4" t="n">
        <v>0</v>
      </c>
      <c r="Q46" s="4" t="n">
        <v>0</v>
      </c>
      <c r="R46" s="4" t="n">
        <v>0</v>
      </c>
      <c r="S46" s="4">
        <f>SUM(O46:R46)</f>
        <v>0</v>
      </c>
      <c r="T46" s="18">
        <f>J46/L46</f>
        <v>36.1333333333333</v>
      </c>
      <c r="U46" s="18">
        <f>S46/G46*1000</f>
        <v>0</v>
      </c>
      <c r="V46" s="4">
        <f>Q46+R46</f>
        <v>0</v>
      </c>
      <c r="W46" s="29">
        <f>100*((J46-MIN($J$2:$J$236))/(MAX($J$2:$J$236)-MIN($J$2:$J$236))+(H46-MIN($H$2:$H$236))/(MAX($H$2:$H$236)-MIN($H$2:$H$236))+(1-(K46-MIN($K$2:$K$236))/(MAX($K$2:$K$236)-MIN($K$2:$K$236))))/3</f>
        <v>34.4283947228488</v>
      </c>
      <c r="X46" s="4" t="n">
        <v>3</v>
      </c>
      <c r="Y46" s="4" t="n">
        <v>0</v>
      </c>
      <c r="Z46" s="4" t="n">
        <v>0</v>
      </c>
      <c r="AA46" s="4" t="inlineStr">
        <is>
          <t>No</t>
        </is>
      </c>
      <c r="AB46" s="4" t="str">
        <f>IF(H46&lt;=Complexity!$C$11,"Q1 (lowest)",IF(H46&lt;=Complexity!$C$12,"Q2",IF(H46&lt;=Complexity!$C$13,"Q3","Q4 (highest)")))</f>
        <v>Q3</v>
      </c>
      <c r="AC46" s="4" t="str">
        <f>IF(J46&lt;=Churn!$C$11,"Q1 (lowest)",IF(J46&lt;=Churn!$C$12,"Q2",IF(J46&lt;=Churn!$C$13,"Q3","Q4 (highest)")))</f>
        <v>Q1 (lowest)</v>
      </c>
      <c r="AD46" s="4" t="str">
        <f>IF(K46&lt;=40,"&lt;=40%",IF(K46&lt;=60,"40-60%",IF(K46&lt;=80,"60-80%","80%+")))</f>
        <v>60-80%</v>
      </c>
      <c r="AE46" s="4" t="str">
        <f>IF(M46&lt;=2,"1-2",IF(M46&lt;=4,"3-4",IF(M46&lt;=6,"5-6","7+")))</f>
        <v>1-2</v>
      </c>
    </row>
    <row r="47">
      <c r="A47" s="4" t="inlineStr">
        <is>
          <t>auth_login</t>
        </is>
      </c>
      <c r="B47" s="4" t="inlineStr">
        <is>
          <t>Auth</t>
        </is>
      </c>
      <c r="C47" s="4" t="inlineStr">
        <is>
          <t>Java</t>
        </is>
      </c>
      <c r="D47" s="4" t="inlineStr">
        <is>
          <t>v1.0</t>
        </is>
      </c>
      <c r="E47" s="40" t="n">
        <v>45306</v>
      </c>
      <c r="F47" s="4" t="n">
        <v>1</v>
      </c>
      <c r="G47" s="4" t="n">
        <v>1070</v>
      </c>
      <c r="H47" s="18" t="n">
        <v>9.484999999999999</v>
      </c>
      <c r="I47" s="18" t="n">
        <v>9.800000000000001</v>
      </c>
      <c r="J47" s="29" t="n">
        <v>191.6</v>
      </c>
      <c r="K47" s="29" t="n">
        <v>77.7</v>
      </c>
      <c r="L47" s="4" t="n">
        <v>7</v>
      </c>
      <c r="M47" s="4" t="n">
        <v>3</v>
      </c>
      <c r="N47" s="4" t="n">
        <v>233</v>
      </c>
      <c r="O47" s="4" t="n">
        <v>0</v>
      </c>
      <c r="P47" s="4" t="n">
        <v>0</v>
      </c>
      <c r="Q47" s="4" t="n">
        <v>0</v>
      </c>
      <c r="R47" s="4" t="n">
        <v>0</v>
      </c>
      <c r="S47" s="4">
        <f>SUM(O47:R47)</f>
        <v>0</v>
      </c>
      <c r="T47" s="18">
        <f>J47/L47</f>
        <v>27.3714285714286</v>
      </c>
      <c r="U47" s="18">
        <f>S47/G47*1000</f>
        <v>0</v>
      </c>
      <c r="V47" s="4">
        <f>Q47+R47</f>
        <v>0</v>
      </c>
      <c r="W47" s="29">
        <f>100*((J47-MIN($J$2:$J$236))/(MAX($J$2:$J$236)-MIN($J$2:$J$236))+(H47-MIN($H$2:$H$236))/(MAX($H$2:$H$236)-MIN($H$2:$H$236))+(1-(K47-MIN($K$2:$K$236))/(MAX($K$2:$K$236)-MIN($K$2:$K$236))))/3</f>
        <v>21.5320530667543</v>
      </c>
      <c r="X47" s="4" t="n">
        <v>0</v>
      </c>
      <c r="Y47" s="4" t="n">
        <v>0</v>
      </c>
      <c r="Z47" s="4" t="n">
        <v>0</v>
      </c>
      <c r="AA47" s="4" t="inlineStr">
        <is>
          <t>No</t>
        </is>
      </c>
      <c r="AB47" s="4" t="str">
        <f>IF(H47&lt;=Complexity!$C$11,"Q1 (lowest)",IF(H47&lt;=Complexity!$C$12,"Q2",IF(H47&lt;=Complexity!$C$13,"Q3","Q4 (highest)")))</f>
        <v>Q1 (lowest)</v>
      </c>
      <c r="AC47" s="4" t="str">
        <f>IF(J47&lt;=Churn!$C$11,"Q1 (lowest)",IF(J47&lt;=Churn!$C$12,"Q2",IF(J47&lt;=Churn!$C$13,"Q3","Q4 (highest)")))</f>
        <v>Q2</v>
      </c>
      <c r="AD47" s="4" t="str">
        <f>IF(K47&lt;=40,"&lt;=40%",IF(K47&lt;=60,"40-60%",IF(K47&lt;=80,"60-80%","80%+")))</f>
        <v>60-80%</v>
      </c>
      <c r="AE47" s="4" t="str">
        <f>IF(M47&lt;=2,"1-2",IF(M47&lt;=4,"3-4",IF(M47&lt;=6,"5-6","7+")))</f>
        <v>3-4</v>
      </c>
    </row>
    <row r="48">
      <c r="A48" s="4" t="inlineStr">
        <is>
          <t>auth_login</t>
        </is>
      </c>
      <c r="B48" s="4" t="inlineStr">
        <is>
          <t>Auth</t>
        </is>
      </c>
      <c r="C48" s="4" t="inlineStr">
        <is>
          <t>Java</t>
        </is>
      </c>
      <c r="D48" s="4" t="inlineStr">
        <is>
          <t>v1.1</t>
        </is>
      </c>
      <c r="E48" s="40" t="n">
        <v>45432</v>
      </c>
      <c r="F48" s="4" t="n">
        <v>2</v>
      </c>
      <c r="G48" s="4" t="n">
        <v>1070</v>
      </c>
      <c r="H48" s="18" t="n">
        <v>8.26</v>
      </c>
      <c r="I48" s="18" t="n">
        <v>5.32</v>
      </c>
      <c r="J48" s="29" t="n">
        <v>355.9</v>
      </c>
      <c r="K48" s="29" t="n">
        <v>74</v>
      </c>
      <c r="L48" s="4" t="n">
        <v>16</v>
      </c>
      <c r="M48" s="4" t="n">
        <v>5</v>
      </c>
      <c r="N48" s="4" t="n">
        <v>502</v>
      </c>
      <c r="O48" s="4" t="n">
        <v>0</v>
      </c>
      <c r="P48" s="4" t="n">
        <v>0</v>
      </c>
      <c r="Q48" s="4" t="n">
        <v>0</v>
      </c>
      <c r="R48" s="4" t="n">
        <v>0</v>
      </c>
      <c r="S48" s="4">
        <f>SUM(O48:R48)</f>
        <v>0</v>
      </c>
      <c r="T48" s="18">
        <f>J48/L48</f>
        <v>22.24375</v>
      </c>
      <c r="U48" s="18">
        <f>S48/G48*1000</f>
        <v>0</v>
      </c>
      <c r="V48" s="4">
        <f>Q48+R48</f>
        <v>0</v>
      </c>
      <c r="W48" s="29">
        <f>100*((J48-MIN($J$2:$J$236))/(MAX($J$2:$J$236)-MIN($J$2:$J$236))+(H48-MIN($H$2:$H$236))/(MAX($H$2:$H$236)-MIN($H$2:$H$236))+(1-(K48-MIN($K$2:$K$236))/(MAX($K$2:$K$236)-MIN($K$2:$K$236))))/3</f>
        <v>26.4237640784832</v>
      </c>
      <c r="X48" s="4" t="n">
        <v>0</v>
      </c>
      <c r="Y48" s="4" t="n">
        <v>0</v>
      </c>
      <c r="Z48" s="4" t="n">
        <v>0</v>
      </c>
      <c r="AA48" s="4" t="inlineStr">
        <is>
          <t>No</t>
        </is>
      </c>
      <c r="AB48" s="4" t="str">
        <f>IF(H48&lt;=Complexity!$C$11,"Q1 (lowest)",IF(H48&lt;=Complexity!$C$12,"Q2",IF(H48&lt;=Complexity!$C$13,"Q3","Q4 (highest)")))</f>
        <v>Q1 (lowest)</v>
      </c>
      <c r="AC48" s="4" t="str">
        <f>IF(J48&lt;=Churn!$C$11,"Q1 (lowest)",IF(J48&lt;=Churn!$C$12,"Q2",IF(J48&lt;=Churn!$C$13,"Q3","Q4 (highest)")))</f>
        <v>Q3</v>
      </c>
      <c r="AD48" s="4" t="str">
        <f>IF(K48&lt;=40,"&lt;=40%",IF(K48&lt;=60,"40-60%",IF(K48&lt;=80,"60-80%","80%+")))</f>
        <v>60-80%</v>
      </c>
      <c r="AE48" s="4" t="str">
        <f>IF(M48&lt;=2,"1-2",IF(M48&lt;=4,"3-4",IF(M48&lt;=6,"5-6","7+")))</f>
        <v>5-6</v>
      </c>
    </row>
    <row r="49">
      <c r="A49" s="4" t="inlineStr">
        <is>
          <t>auth_login</t>
        </is>
      </c>
      <c r="B49" s="4" t="inlineStr">
        <is>
          <t>Auth</t>
        </is>
      </c>
      <c r="C49" s="4" t="inlineStr">
        <is>
          <t>Java</t>
        </is>
      </c>
      <c r="D49" s="4" t="inlineStr">
        <is>
          <t>v2.0</t>
        </is>
      </c>
      <c r="E49" s="40" t="n">
        <v>45545</v>
      </c>
      <c r="F49" s="4" t="n">
        <v>3</v>
      </c>
      <c r="G49" s="4" t="n">
        <v>1070</v>
      </c>
      <c r="H49" s="18" t="n">
        <v>8.130000000000001</v>
      </c>
      <c r="I49" s="18" t="n">
        <v>7.5</v>
      </c>
      <c r="J49" s="29" t="n">
        <v>61.3</v>
      </c>
      <c r="K49" s="29" t="n">
        <v>66</v>
      </c>
      <c r="L49" s="4" t="n">
        <v>1</v>
      </c>
      <c r="M49" s="4" t="n">
        <v>1</v>
      </c>
      <c r="N49" s="4" t="n">
        <v>97</v>
      </c>
      <c r="O49" s="4" t="n">
        <v>0</v>
      </c>
      <c r="P49" s="4" t="n">
        <v>0</v>
      </c>
      <c r="Q49" s="4" t="n">
        <v>0</v>
      </c>
      <c r="R49" s="4" t="n">
        <v>0</v>
      </c>
      <c r="S49" s="4">
        <f>SUM(O49:R49)</f>
        <v>0</v>
      </c>
      <c r="T49" s="18">
        <f>J49/L49</f>
        <v>61.3</v>
      </c>
      <c r="U49" s="18">
        <f>S49/G49*1000</f>
        <v>0</v>
      </c>
      <c r="V49" s="4">
        <f>Q49+R49</f>
        <v>0</v>
      </c>
      <c r="W49" s="29">
        <f>100*((J49-MIN($J$2:$J$236))/(MAX($J$2:$J$236)-MIN($J$2:$J$236))+(H49-MIN($H$2:$H$236))/(MAX($H$2:$H$236)-MIN($H$2:$H$236))+(1-(K49-MIN($K$2:$K$236))/(MAX($K$2:$K$236)-MIN($K$2:$K$236))))/3</f>
        <v>21.8560799122308</v>
      </c>
      <c r="X49" s="4" t="n">
        <v>0</v>
      </c>
      <c r="Y49" s="4" t="n">
        <v>0</v>
      </c>
      <c r="Z49" s="4" t="n">
        <v>0</v>
      </c>
      <c r="AA49" s="4" t="inlineStr">
        <is>
          <t>No</t>
        </is>
      </c>
      <c r="AB49" s="4" t="str">
        <f>IF(H49&lt;=Complexity!$C$11,"Q1 (lowest)",IF(H49&lt;=Complexity!$C$12,"Q2",IF(H49&lt;=Complexity!$C$13,"Q3","Q4 (highest)")))</f>
        <v>Q1 (lowest)</v>
      </c>
      <c r="AC49" s="4" t="str">
        <f>IF(J49&lt;=Churn!$C$11,"Q1 (lowest)",IF(J49&lt;=Churn!$C$12,"Q2",IF(J49&lt;=Churn!$C$13,"Q3","Q4 (highest)")))</f>
        <v>Q1 (lowest)</v>
      </c>
      <c r="AD49" s="4" t="str">
        <f>IF(K49&lt;=40,"&lt;=40%",IF(K49&lt;=60,"40-60%",IF(K49&lt;=80,"60-80%","80%+")))</f>
        <v>60-80%</v>
      </c>
      <c r="AE49" s="4" t="str">
        <f>IF(M49&lt;=2,"1-2",IF(M49&lt;=4,"3-4",IF(M49&lt;=6,"5-6","7+")))</f>
        <v>1-2</v>
      </c>
    </row>
    <row r="50">
      <c r="A50" s="4" t="inlineStr">
        <is>
          <t>auth_login</t>
        </is>
      </c>
      <c r="B50" s="4" t="inlineStr">
        <is>
          <t>Auth</t>
        </is>
      </c>
      <c r="C50" s="4" t="inlineStr">
        <is>
          <t>Java</t>
        </is>
      </c>
      <c r="D50" s="4" t="inlineStr">
        <is>
          <t>v2.1</t>
        </is>
      </c>
      <c r="E50" s="40" t="n">
        <v>45706</v>
      </c>
      <c r="F50" s="4" t="n">
        <v>4</v>
      </c>
      <c r="G50" s="4" t="n">
        <v>1070</v>
      </c>
      <c r="H50" s="18" t="n">
        <v>13.3</v>
      </c>
      <c r="I50" s="18" t="n">
        <v>9.27</v>
      </c>
      <c r="J50" s="29" t="n">
        <v>413.2</v>
      </c>
      <c r="K50" s="29" t="n">
        <v>72.7</v>
      </c>
      <c r="L50" s="4" t="n">
        <v>20</v>
      </c>
      <c r="M50" s="4" t="n">
        <v>6</v>
      </c>
      <c r="N50" s="4" t="n">
        <v>586</v>
      </c>
      <c r="O50" s="4" t="n">
        <v>0</v>
      </c>
      <c r="P50" s="4" t="n">
        <v>0</v>
      </c>
      <c r="Q50" s="4" t="n">
        <v>0</v>
      </c>
      <c r="R50" s="4" t="n">
        <v>0</v>
      </c>
      <c r="S50" s="4">
        <f>SUM(O50:R50)</f>
        <v>0</v>
      </c>
      <c r="T50" s="18">
        <f>J50/L50</f>
        <v>20.66</v>
      </c>
      <c r="U50" s="18">
        <f>S50/G50*1000</f>
        <v>0</v>
      </c>
      <c r="V50" s="4">
        <f>Q50+R50</f>
        <v>0</v>
      </c>
      <c r="W50" s="29">
        <f>100*((J50-MIN($J$2:$J$236))/(MAX($J$2:$J$236)-MIN($J$2:$J$236))+(H50-MIN($H$2:$H$236))/(MAX($H$2:$H$236)-MIN($H$2:$H$236))+(1-(K50-MIN($K$2:$K$236))/(MAX($K$2:$K$236)-MIN($K$2:$K$236))))/3</f>
        <v>33.9379891013635</v>
      </c>
      <c r="X50" s="4" t="n">
        <v>0</v>
      </c>
      <c r="Y50" s="4" t="n">
        <v>0</v>
      </c>
      <c r="Z50" s="4" t="n">
        <v>0</v>
      </c>
      <c r="AA50" s="4" t="inlineStr">
        <is>
          <t>No</t>
        </is>
      </c>
      <c r="AB50" s="4" t="str">
        <f>IF(H50&lt;=Complexity!$C$11,"Q1 (lowest)",IF(H50&lt;=Complexity!$C$12,"Q2",IF(H50&lt;=Complexity!$C$13,"Q3","Q4 (highest)")))</f>
        <v>Q2</v>
      </c>
      <c r="AC50" s="4" t="str">
        <f>IF(J50&lt;=Churn!$C$11,"Q1 (lowest)",IF(J50&lt;=Churn!$C$12,"Q2",IF(J50&lt;=Churn!$C$13,"Q3","Q4 (highest)")))</f>
        <v>Q4 (highest)</v>
      </c>
      <c r="AD50" s="4" t="str">
        <f>IF(K50&lt;=40,"&lt;=40%",IF(K50&lt;=60,"40-60%",IF(K50&lt;=80,"60-80%","80%+")))</f>
        <v>60-80%</v>
      </c>
      <c r="AE50" s="4" t="str">
        <f>IF(M50&lt;=2,"1-2",IF(M50&lt;=4,"3-4",IF(M50&lt;=6,"5-6","7+")))</f>
        <v>5-6</v>
      </c>
    </row>
    <row r="51">
      <c r="A51" s="4" t="inlineStr">
        <is>
          <t>auth_login</t>
        </is>
      </c>
      <c r="B51" s="4" t="inlineStr">
        <is>
          <t>Auth</t>
        </is>
      </c>
      <c r="C51" s="4" t="inlineStr">
        <is>
          <t>Java</t>
        </is>
      </c>
      <c r="D51" s="4" t="inlineStr">
        <is>
          <t>v3.0</t>
        </is>
      </c>
      <c r="E51" s="40" t="n">
        <v>45839</v>
      </c>
      <c r="F51" s="4" t="n">
        <v>5</v>
      </c>
      <c r="G51" s="4" t="n">
        <v>1070</v>
      </c>
      <c r="H51" s="18" t="n">
        <v>10.71</v>
      </c>
      <c r="I51" s="18" t="n">
        <v>9.289999999999999</v>
      </c>
      <c r="J51" s="29" t="n">
        <v>168.5</v>
      </c>
      <c r="K51" s="29" t="n">
        <v>74.40000000000001</v>
      </c>
      <c r="L51" s="4" t="n">
        <v>4</v>
      </c>
      <c r="M51" s="4" t="n">
        <v>2</v>
      </c>
      <c r="N51" s="4" t="n">
        <v>259</v>
      </c>
      <c r="O51" s="4" t="n">
        <v>0</v>
      </c>
      <c r="P51" s="4" t="n">
        <v>0</v>
      </c>
      <c r="Q51" s="4" t="n">
        <v>0</v>
      </c>
      <c r="R51" s="4" t="n">
        <v>0</v>
      </c>
      <c r="S51" s="4">
        <f>SUM(O51:R51)</f>
        <v>0</v>
      </c>
      <c r="T51" s="18">
        <f>J51/L51</f>
        <v>42.125</v>
      </c>
      <c r="U51" s="18">
        <f>S51/G51*1000</f>
        <v>0</v>
      </c>
      <c r="V51" s="4">
        <f>Q51+R51</f>
        <v>0</v>
      </c>
      <c r="W51" s="29">
        <f>100*((J51-MIN($J$2:$J$236))/(MAX($J$2:$J$236)-MIN($J$2:$J$236))+(H51-MIN($H$2:$H$236))/(MAX($H$2:$H$236)-MIN($H$2:$H$236))+(1-(K51-MIN($K$2:$K$236))/(MAX($K$2:$K$236)-MIN($K$2:$K$236))))/3</f>
        <v>23.7038857111904</v>
      </c>
      <c r="X51" s="4" t="n">
        <v>0</v>
      </c>
      <c r="Y51" s="4" t="n">
        <v>0</v>
      </c>
      <c r="Z51" s="4" t="n">
        <v>0</v>
      </c>
      <c r="AA51" s="4" t="inlineStr">
        <is>
          <t>No</t>
        </is>
      </c>
      <c r="AB51" s="4" t="str">
        <f>IF(H51&lt;=Complexity!$C$11,"Q1 (lowest)",IF(H51&lt;=Complexity!$C$12,"Q2",IF(H51&lt;=Complexity!$C$13,"Q3","Q4 (highest)")))</f>
        <v>Q2</v>
      </c>
      <c r="AC51" s="4" t="str">
        <f>IF(J51&lt;=Churn!$C$11,"Q1 (lowest)",IF(J51&lt;=Churn!$C$12,"Q2",IF(J51&lt;=Churn!$C$13,"Q3","Q4 (highest)")))</f>
        <v>Q2</v>
      </c>
      <c r="AD51" s="4" t="str">
        <f>IF(K51&lt;=40,"&lt;=40%",IF(K51&lt;=60,"40-60%",IF(K51&lt;=80,"60-80%","80%+")))</f>
        <v>60-80%</v>
      </c>
      <c r="AE51" s="4" t="str">
        <f>IF(M51&lt;=2,"1-2",IF(M51&lt;=4,"3-4",IF(M51&lt;=6,"5-6","7+")))</f>
        <v>1-2</v>
      </c>
    </row>
    <row r="52">
      <c r="A52" s="4" t="inlineStr">
        <is>
          <t>auth_mfa</t>
        </is>
      </c>
      <c r="B52" s="4" t="inlineStr">
        <is>
          <t>Auth</t>
        </is>
      </c>
      <c r="C52" s="4" t="inlineStr">
        <is>
          <t>Python</t>
        </is>
      </c>
      <c r="D52" s="4" t="inlineStr">
        <is>
          <t>v1.0</t>
        </is>
      </c>
      <c r="E52" s="40" t="n">
        <v>45306</v>
      </c>
      <c r="F52" s="4" t="n">
        <v>1</v>
      </c>
      <c r="G52" s="4" t="n">
        <v>1978</v>
      </c>
      <c r="H52" s="18" t="n">
        <v>2.62</v>
      </c>
      <c r="I52" s="18" t="n">
        <v>4.14</v>
      </c>
      <c r="J52" s="29" t="n">
        <v>628.7</v>
      </c>
      <c r="K52" s="29" t="n">
        <v>63</v>
      </c>
      <c r="L52" s="4" t="n">
        <v>16</v>
      </c>
      <c r="M52" s="4" t="n">
        <v>4</v>
      </c>
      <c r="N52" s="4" t="n">
        <v>951</v>
      </c>
      <c r="O52" s="4" t="n">
        <v>0</v>
      </c>
      <c r="P52" s="4" t="n">
        <v>0</v>
      </c>
      <c r="Q52" s="4" t="n">
        <v>0</v>
      </c>
      <c r="R52" s="4" t="n">
        <v>0</v>
      </c>
      <c r="S52" s="4">
        <f>SUM(O52:R52)</f>
        <v>0</v>
      </c>
      <c r="T52" s="18">
        <f>J52/L52</f>
        <v>39.29375</v>
      </c>
      <c r="U52" s="18">
        <f>S52/G52*1000</f>
        <v>0</v>
      </c>
      <c r="V52" s="4">
        <f>Q52+R52</f>
        <v>0</v>
      </c>
      <c r="W52" s="29">
        <f>100*((J52-MIN($J$2:$J$236))/(MAX($J$2:$J$236)-MIN($J$2:$J$236))+(H52-MIN($H$2:$H$236))/(MAX($H$2:$H$236)-MIN($H$2:$H$236))+(1-(K52-MIN($K$2:$K$236))/(MAX($K$2:$K$236)-MIN($K$2:$K$236))))/3</f>
        <v>32.932378353648</v>
      </c>
      <c r="X52" s="4" t="n">
        <v>0</v>
      </c>
      <c r="Y52" s="4" t="n">
        <v>0</v>
      </c>
      <c r="Z52" s="4" t="n">
        <v>0</v>
      </c>
      <c r="AA52" s="4" t="inlineStr">
        <is>
          <t>No</t>
        </is>
      </c>
      <c r="AB52" s="4" t="str">
        <f>IF(H52&lt;=Complexity!$C$11,"Q1 (lowest)",IF(H52&lt;=Complexity!$C$12,"Q2",IF(H52&lt;=Complexity!$C$13,"Q3","Q4 (highest)")))</f>
        <v>Q1 (lowest)</v>
      </c>
      <c r="AC52" s="4" t="str">
        <f>IF(J52&lt;=Churn!$C$11,"Q1 (lowest)",IF(J52&lt;=Churn!$C$12,"Q2",IF(J52&lt;=Churn!$C$13,"Q3","Q4 (highest)")))</f>
        <v>Q4 (highest)</v>
      </c>
      <c r="AD52" s="4" t="str">
        <f>IF(K52&lt;=40,"&lt;=40%",IF(K52&lt;=60,"40-60%",IF(K52&lt;=80,"60-80%","80%+")))</f>
        <v>60-80%</v>
      </c>
      <c r="AE52" s="4" t="str">
        <f>IF(M52&lt;=2,"1-2",IF(M52&lt;=4,"3-4",IF(M52&lt;=6,"5-6","7+")))</f>
        <v>3-4</v>
      </c>
    </row>
    <row r="53">
      <c r="A53" s="4" t="inlineStr">
        <is>
          <t>auth_mfa</t>
        </is>
      </c>
      <c r="B53" s="4" t="inlineStr">
        <is>
          <t>Auth</t>
        </is>
      </c>
      <c r="C53" s="4" t="inlineStr">
        <is>
          <t>Python</t>
        </is>
      </c>
      <c r="D53" s="4" t="inlineStr">
        <is>
          <t>v1.1</t>
        </is>
      </c>
      <c r="E53" s="40" t="n">
        <v>45432</v>
      </c>
      <c r="F53" s="4" t="n">
        <v>2</v>
      </c>
      <c r="G53" s="4" t="n">
        <v>1978</v>
      </c>
      <c r="H53" s="18" t="n">
        <v>7.08</v>
      </c>
      <c r="I53" s="18" t="n">
        <v>9.49</v>
      </c>
      <c r="J53" s="29" t="n">
        <v>383</v>
      </c>
      <c r="K53" s="29" t="n">
        <v>69</v>
      </c>
      <c r="L53" s="4" t="n">
        <v>11</v>
      </c>
      <c r="M53" s="4" t="n">
        <v>4</v>
      </c>
      <c r="N53" s="4" t="n">
        <v>553</v>
      </c>
      <c r="O53" s="4" t="n">
        <v>0</v>
      </c>
      <c r="P53" s="4" t="n">
        <v>0</v>
      </c>
      <c r="Q53" s="4" t="n">
        <v>0</v>
      </c>
      <c r="R53" s="4" t="n">
        <v>0</v>
      </c>
      <c r="S53" s="4">
        <f>SUM(O53:R53)</f>
        <v>0</v>
      </c>
      <c r="T53" s="18">
        <f>J53/L53</f>
        <v>34.8181818181818</v>
      </c>
      <c r="U53" s="18">
        <f>S53/G53*1000</f>
        <v>0</v>
      </c>
      <c r="V53" s="4">
        <f>Q53+R53</f>
        <v>0</v>
      </c>
      <c r="W53" s="29">
        <f>100*((J53-MIN($J$2:$J$236))/(MAX($J$2:$J$236)-MIN($J$2:$J$236))+(H53-MIN($H$2:$H$236))/(MAX($H$2:$H$236)-MIN($H$2:$H$236))+(1-(K53-MIN($K$2:$K$236))/(MAX($K$2:$K$236)-MIN($K$2:$K$236))))/3</f>
        <v>28.1941480376016</v>
      </c>
      <c r="X53" s="4" t="n">
        <v>0</v>
      </c>
      <c r="Y53" s="4" t="n">
        <v>0</v>
      </c>
      <c r="Z53" s="4" t="n">
        <v>0</v>
      </c>
      <c r="AA53" s="4" t="inlineStr">
        <is>
          <t>No</t>
        </is>
      </c>
      <c r="AB53" s="4" t="str">
        <f>IF(H53&lt;=Complexity!$C$11,"Q1 (lowest)",IF(H53&lt;=Complexity!$C$12,"Q2",IF(H53&lt;=Complexity!$C$13,"Q3","Q4 (highest)")))</f>
        <v>Q1 (lowest)</v>
      </c>
      <c r="AC53" s="4" t="str">
        <f>IF(J53&lt;=Churn!$C$11,"Q1 (lowest)",IF(J53&lt;=Churn!$C$12,"Q2",IF(J53&lt;=Churn!$C$13,"Q3","Q4 (highest)")))</f>
        <v>Q3</v>
      </c>
      <c r="AD53" s="4" t="str">
        <f>IF(K53&lt;=40,"&lt;=40%",IF(K53&lt;=60,"40-60%",IF(K53&lt;=80,"60-80%","80%+")))</f>
        <v>60-80%</v>
      </c>
      <c r="AE53" s="4" t="str">
        <f>IF(M53&lt;=2,"1-2",IF(M53&lt;=4,"3-4",IF(M53&lt;=6,"5-6","7+")))</f>
        <v>3-4</v>
      </c>
    </row>
    <row r="54">
      <c r="A54" s="4" t="inlineStr">
        <is>
          <t>auth_mfa</t>
        </is>
      </c>
      <c r="B54" s="4" t="inlineStr">
        <is>
          <t>Auth</t>
        </is>
      </c>
      <c r="C54" s="4" t="inlineStr">
        <is>
          <t>Python</t>
        </is>
      </c>
      <c r="D54" s="4" t="inlineStr">
        <is>
          <t>v2.0</t>
        </is>
      </c>
      <c r="E54" s="40" t="n">
        <v>45545</v>
      </c>
      <c r="F54" s="4" t="n">
        <v>3</v>
      </c>
      <c r="G54" s="4" t="n">
        <v>1978</v>
      </c>
      <c r="H54" s="18" t="n">
        <v>4.37</v>
      </c>
      <c r="I54" s="18" t="n">
        <v>7.15</v>
      </c>
      <c r="J54" s="29" t="n">
        <v>68.7</v>
      </c>
      <c r="K54" s="29" t="n">
        <v>69.40000000000001</v>
      </c>
      <c r="L54" s="4" t="n">
        <v>2</v>
      </c>
      <c r="M54" s="4" t="n">
        <v>2</v>
      </c>
      <c r="N54" s="4" t="n">
        <v>107</v>
      </c>
      <c r="O54" s="4" t="n">
        <v>0</v>
      </c>
      <c r="P54" s="4" t="n">
        <v>0</v>
      </c>
      <c r="Q54" s="4" t="n">
        <v>0</v>
      </c>
      <c r="R54" s="4" t="n">
        <v>0</v>
      </c>
      <c r="S54" s="4">
        <f>SUM(O54:R54)</f>
        <v>0</v>
      </c>
      <c r="T54" s="18">
        <f>J54/L54</f>
        <v>34.35</v>
      </c>
      <c r="U54" s="18">
        <f>S54/G54*1000</f>
        <v>0</v>
      </c>
      <c r="V54" s="4">
        <f>Q54+R54</f>
        <v>0</v>
      </c>
      <c r="W54" s="29">
        <f>100*((J54-MIN($J$2:$J$236))/(MAX($J$2:$J$236)-MIN($J$2:$J$236))+(H54-MIN($H$2:$H$236))/(MAX($H$2:$H$236)-MIN($H$2:$H$236))+(1-(K54-MIN($K$2:$K$236))/(MAX($K$2:$K$236)-MIN($K$2:$K$236))))/3</f>
        <v>16.5170858193232</v>
      </c>
      <c r="X54" s="4" t="n">
        <v>0</v>
      </c>
      <c r="Y54" s="4" t="n">
        <v>0</v>
      </c>
      <c r="Z54" s="4" t="n">
        <v>0</v>
      </c>
      <c r="AA54" s="4" t="inlineStr">
        <is>
          <t>No</t>
        </is>
      </c>
      <c r="AB54" s="4" t="str">
        <f>IF(H54&lt;=Complexity!$C$11,"Q1 (lowest)",IF(H54&lt;=Complexity!$C$12,"Q2",IF(H54&lt;=Complexity!$C$13,"Q3","Q4 (highest)")))</f>
        <v>Q1 (lowest)</v>
      </c>
      <c r="AC54" s="4" t="str">
        <f>IF(J54&lt;=Churn!$C$11,"Q1 (lowest)",IF(J54&lt;=Churn!$C$12,"Q2",IF(J54&lt;=Churn!$C$13,"Q3","Q4 (highest)")))</f>
        <v>Q1 (lowest)</v>
      </c>
      <c r="AD54" s="4" t="str">
        <f>IF(K54&lt;=40,"&lt;=40%",IF(K54&lt;=60,"40-60%",IF(K54&lt;=80,"60-80%","80%+")))</f>
        <v>60-80%</v>
      </c>
      <c r="AE54" s="4" t="str">
        <f>IF(M54&lt;=2,"1-2",IF(M54&lt;=4,"3-4",IF(M54&lt;=6,"5-6","7+")))</f>
        <v>1-2</v>
      </c>
    </row>
    <row r="55">
      <c r="A55" s="4" t="inlineStr">
        <is>
          <t>auth_mfa</t>
        </is>
      </c>
      <c r="B55" s="4" t="inlineStr">
        <is>
          <t>Auth</t>
        </is>
      </c>
      <c r="C55" s="4" t="inlineStr">
        <is>
          <t>Python</t>
        </is>
      </c>
      <c r="D55" s="4" t="inlineStr">
        <is>
          <t>v2.1</t>
        </is>
      </c>
      <c r="E55" s="40" t="n">
        <v>45706</v>
      </c>
      <c r="F55" s="4" t="n">
        <v>4</v>
      </c>
      <c r="G55" s="4" t="n">
        <v>1978</v>
      </c>
      <c r="H55" s="18" t="n">
        <v>6.84</v>
      </c>
      <c r="I55" s="18" t="n">
        <v>7.55</v>
      </c>
      <c r="J55" s="29" t="n">
        <v>310.7</v>
      </c>
      <c r="K55" s="29" t="n">
        <v>66.3</v>
      </c>
      <c r="L55" s="4" t="n">
        <v>14</v>
      </c>
      <c r="M55" s="4" t="n">
        <v>3</v>
      </c>
      <c r="N55" s="4" t="n">
        <v>545</v>
      </c>
      <c r="O55" s="4" t="n">
        <v>0</v>
      </c>
      <c r="P55" s="4" t="n">
        <v>0</v>
      </c>
      <c r="Q55" s="4" t="n">
        <v>0</v>
      </c>
      <c r="R55" s="4" t="n">
        <v>0</v>
      </c>
      <c r="S55" s="4">
        <f>SUM(O55:R55)</f>
        <v>0</v>
      </c>
      <c r="T55" s="18">
        <f>J55/L55</f>
        <v>22.1928571428571</v>
      </c>
      <c r="U55" s="18">
        <f>S55/G55*1000</f>
        <v>0</v>
      </c>
      <c r="V55" s="4">
        <f>Q55+R55</f>
        <v>0</v>
      </c>
      <c r="W55" s="29">
        <f>100*((J55-MIN($J$2:$J$236))/(MAX($J$2:$J$236)-MIN($J$2:$J$236))+(H55-MIN($H$2:$H$236))/(MAX($H$2:$H$236)-MIN($H$2:$H$236))+(1-(K55-MIN($K$2:$K$236))/(MAX($K$2:$K$236)-MIN($K$2:$K$236))))/3</f>
        <v>27.1881641450793</v>
      </c>
      <c r="X55" s="4" t="n">
        <v>0</v>
      </c>
      <c r="Y55" s="4" t="n">
        <v>0</v>
      </c>
      <c r="Z55" s="4" t="n">
        <v>0</v>
      </c>
      <c r="AA55" s="4" t="inlineStr">
        <is>
          <t>No</t>
        </is>
      </c>
      <c r="AB55" s="4" t="str">
        <f>IF(H55&lt;=Complexity!$C$11,"Q1 (lowest)",IF(H55&lt;=Complexity!$C$12,"Q2",IF(H55&lt;=Complexity!$C$13,"Q3","Q4 (highest)")))</f>
        <v>Q1 (lowest)</v>
      </c>
      <c r="AC55" s="4" t="str">
        <f>IF(J55&lt;=Churn!$C$11,"Q1 (lowest)",IF(J55&lt;=Churn!$C$12,"Q2",IF(J55&lt;=Churn!$C$13,"Q3","Q4 (highest)")))</f>
        <v>Q3</v>
      </c>
      <c r="AD55" s="4" t="str">
        <f>IF(K55&lt;=40,"&lt;=40%",IF(K55&lt;=60,"40-60%",IF(K55&lt;=80,"60-80%","80%+")))</f>
        <v>60-80%</v>
      </c>
      <c r="AE55" s="4" t="str">
        <f>IF(M55&lt;=2,"1-2",IF(M55&lt;=4,"3-4",IF(M55&lt;=6,"5-6","7+")))</f>
        <v>3-4</v>
      </c>
    </row>
    <row r="56">
      <c r="A56" s="4" t="inlineStr">
        <is>
          <t>auth_mfa</t>
        </is>
      </c>
      <c r="B56" s="4" t="inlineStr">
        <is>
          <t>Auth</t>
        </is>
      </c>
      <c r="C56" s="4" t="inlineStr">
        <is>
          <t>Python</t>
        </is>
      </c>
      <c r="D56" s="4" t="inlineStr">
        <is>
          <t>v3.0</t>
        </is>
      </c>
      <c r="E56" s="40" t="n">
        <v>45839</v>
      </c>
      <c r="F56" s="4" t="n">
        <v>5</v>
      </c>
      <c r="G56" s="4" t="n">
        <v>1978</v>
      </c>
      <c r="H56" s="18" t="n">
        <v>5.76</v>
      </c>
      <c r="I56" s="18" t="n">
        <v>9.56</v>
      </c>
      <c r="J56" s="29" t="n">
        <v>149.5</v>
      </c>
      <c r="K56" s="29" t="n">
        <v>68.40000000000001</v>
      </c>
      <c r="L56" s="4" t="n">
        <v>5</v>
      </c>
      <c r="M56" s="4" t="n">
        <v>2</v>
      </c>
      <c r="N56" s="4" t="n">
        <v>267</v>
      </c>
      <c r="O56" s="4" t="n">
        <v>0</v>
      </c>
      <c r="P56" s="4" t="n">
        <v>0</v>
      </c>
      <c r="Q56" s="4" t="n">
        <v>0</v>
      </c>
      <c r="R56" s="4" t="n">
        <v>0</v>
      </c>
      <c r="S56" s="4">
        <f>SUM(O56:R56)</f>
        <v>0</v>
      </c>
      <c r="T56" s="18">
        <f>J56/L56</f>
        <v>29.9</v>
      </c>
      <c r="U56" s="18">
        <f>S56/G56*1000</f>
        <v>0</v>
      </c>
      <c r="V56" s="4">
        <f>Q56+R56</f>
        <v>0</v>
      </c>
      <c r="W56" s="29">
        <f>100*((J56-MIN($J$2:$J$236))/(MAX($J$2:$J$236)-MIN($J$2:$J$236))+(H56-MIN($H$2:$H$236))/(MAX($H$2:$H$236)-MIN($H$2:$H$236))+(1-(K56-MIN($K$2:$K$236))/(MAX($K$2:$K$236)-MIN($K$2:$K$236))))/3</f>
        <v>20.6641248931938</v>
      </c>
      <c r="X56" s="4" t="n">
        <v>0</v>
      </c>
      <c r="Y56" s="4" t="n">
        <v>0</v>
      </c>
      <c r="Z56" s="4" t="n">
        <v>0</v>
      </c>
      <c r="AA56" s="4" t="inlineStr">
        <is>
          <t>No</t>
        </is>
      </c>
      <c r="AB56" s="4" t="str">
        <f>IF(H56&lt;=Complexity!$C$11,"Q1 (lowest)",IF(H56&lt;=Complexity!$C$12,"Q2",IF(H56&lt;=Complexity!$C$13,"Q3","Q4 (highest)")))</f>
        <v>Q1 (lowest)</v>
      </c>
      <c r="AC56" s="4" t="str">
        <f>IF(J56&lt;=Churn!$C$11,"Q1 (lowest)",IF(J56&lt;=Churn!$C$12,"Q2",IF(J56&lt;=Churn!$C$13,"Q3","Q4 (highest)")))</f>
        <v>Q1 (lowest)</v>
      </c>
      <c r="AD56" s="4" t="str">
        <f>IF(K56&lt;=40,"&lt;=40%",IF(K56&lt;=60,"40-60%",IF(K56&lt;=80,"60-80%","80%+")))</f>
        <v>60-80%</v>
      </c>
      <c r="AE56" s="4" t="str">
        <f>IF(M56&lt;=2,"1-2",IF(M56&lt;=4,"3-4",IF(M56&lt;=6,"5-6","7+")))</f>
        <v>1-2</v>
      </c>
    </row>
    <row r="57">
      <c r="A57" s="4" t="inlineStr">
        <is>
          <t>auth_oauth</t>
        </is>
      </c>
      <c r="B57" s="4" t="inlineStr">
        <is>
          <t>Auth</t>
        </is>
      </c>
      <c r="C57" s="4" t="inlineStr">
        <is>
          <t>Java</t>
        </is>
      </c>
      <c r="D57" s="4" t="inlineStr">
        <is>
          <t>v1.0</t>
        </is>
      </c>
      <c r="E57" s="40" t="n">
        <v>45306</v>
      </c>
      <c r="F57" s="4" t="n">
        <v>1</v>
      </c>
      <c r="G57" s="4" t="n">
        <v>619</v>
      </c>
      <c r="H57" s="18" t="n">
        <v>13.23</v>
      </c>
      <c r="I57" s="18" t="n">
        <v>13.03</v>
      </c>
      <c r="J57" s="29" t="n">
        <v>293.7</v>
      </c>
      <c r="K57" s="29" t="n">
        <v>73.09999999999999</v>
      </c>
      <c r="L57" s="4" t="n">
        <v>14</v>
      </c>
      <c r="M57" s="4" t="n">
        <v>5</v>
      </c>
      <c r="N57" s="4" t="n">
        <v>354</v>
      </c>
      <c r="O57" s="4" t="n">
        <v>0</v>
      </c>
      <c r="P57" s="4" t="n">
        <v>0</v>
      </c>
      <c r="Q57" s="4" t="n">
        <v>0</v>
      </c>
      <c r="R57" s="4" t="n">
        <v>0</v>
      </c>
      <c r="S57" s="4">
        <f>SUM(O57:R57)</f>
        <v>0</v>
      </c>
      <c r="T57" s="18">
        <f>J57/L57</f>
        <v>20.9785714285714</v>
      </c>
      <c r="U57" s="18">
        <f>S57/G57*1000</f>
        <v>0</v>
      </c>
      <c r="V57" s="4">
        <f>Q57+R57</f>
        <v>0</v>
      </c>
      <c r="W57" s="29">
        <f>100*((J57-MIN($J$2:$J$236))/(MAX($J$2:$J$236)-MIN($J$2:$J$236))+(H57-MIN($H$2:$H$236))/(MAX($H$2:$H$236)-MIN($H$2:$H$236))+(1-(K57-MIN($K$2:$K$236))/(MAX($K$2:$K$236)-MIN($K$2:$K$236))))/3</f>
        <v>30.4047046721564</v>
      </c>
      <c r="X57" s="4" t="n">
        <v>0</v>
      </c>
      <c r="Y57" s="4" t="n">
        <v>0</v>
      </c>
      <c r="Z57" s="4" t="n">
        <v>0</v>
      </c>
      <c r="AA57" s="4" t="inlineStr">
        <is>
          <t>No</t>
        </is>
      </c>
      <c r="AB57" s="4" t="str">
        <f>IF(H57&lt;=Complexity!$C$11,"Q1 (lowest)",IF(H57&lt;=Complexity!$C$12,"Q2",IF(H57&lt;=Complexity!$C$13,"Q3","Q4 (highest)")))</f>
        <v>Q2</v>
      </c>
      <c r="AC57" s="4" t="str">
        <f>IF(J57&lt;=Churn!$C$11,"Q1 (lowest)",IF(J57&lt;=Churn!$C$12,"Q2",IF(J57&lt;=Churn!$C$13,"Q3","Q4 (highest)")))</f>
        <v>Q3</v>
      </c>
      <c r="AD57" s="4" t="str">
        <f>IF(K57&lt;=40,"&lt;=40%",IF(K57&lt;=60,"40-60%",IF(K57&lt;=80,"60-80%","80%+")))</f>
        <v>60-80%</v>
      </c>
      <c r="AE57" s="4" t="str">
        <f>IF(M57&lt;=2,"1-2",IF(M57&lt;=4,"3-4",IF(M57&lt;=6,"5-6","7+")))</f>
        <v>5-6</v>
      </c>
    </row>
    <row r="58">
      <c r="A58" s="4" t="inlineStr">
        <is>
          <t>auth_oauth</t>
        </is>
      </c>
      <c r="B58" s="4" t="inlineStr">
        <is>
          <t>Auth</t>
        </is>
      </c>
      <c r="C58" s="4" t="inlineStr">
        <is>
          <t>Java</t>
        </is>
      </c>
      <c r="D58" s="4" t="inlineStr">
        <is>
          <t>v1.1</t>
        </is>
      </c>
      <c r="E58" s="40" t="n">
        <v>45432</v>
      </c>
      <c r="F58" s="4" t="n">
        <v>2</v>
      </c>
      <c r="G58" s="4" t="n">
        <v>619</v>
      </c>
      <c r="H58" s="18" t="n">
        <v>16.33</v>
      </c>
      <c r="I58" s="18" t="n">
        <v>9.130000000000001</v>
      </c>
      <c r="J58" s="29" t="n">
        <v>147.55</v>
      </c>
      <c r="K58" s="29" t="n">
        <v>78.90000000000001</v>
      </c>
      <c r="L58" s="4" t="n">
        <v>4</v>
      </c>
      <c r="M58" s="4" t="n">
        <v>2</v>
      </c>
      <c r="N58" s="4" t="n">
        <v>146</v>
      </c>
      <c r="O58" s="4" t="n">
        <v>0</v>
      </c>
      <c r="P58" s="4" t="n">
        <v>0</v>
      </c>
      <c r="Q58" s="4" t="n">
        <v>0</v>
      </c>
      <c r="R58" s="4" t="n">
        <v>0</v>
      </c>
      <c r="S58" s="4">
        <f>SUM(O58:R58)</f>
        <v>0</v>
      </c>
      <c r="T58" s="18">
        <f>J58/L58</f>
        <v>36.8875</v>
      </c>
      <c r="U58" s="18">
        <f>S58/G58*1000</f>
        <v>0</v>
      </c>
      <c r="V58" s="4">
        <f>Q58+R58</f>
        <v>0</v>
      </c>
      <c r="W58" s="29">
        <f>100*((J58-MIN($J$2:$J$236))/(MAX($J$2:$J$236)-MIN($J$2:$J$236))+(H58-MIN($H$2:$H$236))/(MAX($H$2:$H$236)-MIN($H$2:$H$236))+(1-(K58-MIN($K$2:$K$236))/(MAX($K$2:$K$236)-MIN($K$2:$K$236))))/3</f>
        <v>27.0435028526683</v>
      </c>
      <c r="X58" s="4" t="n">
        <v>0</v>
      </c>
      <c r="Y58" s="4" t="n">
        <v>0</v>
      </c>
      <c r="Z58" s="4" t="n">
        <v>0</v>
      </c>
      <c r="AA58" s="4" t="inlineStr">
        <is>
          <t>No</t>
        </is>
      </c>
      <c r="AB58" s="4" t="str">
        <f>IF(H58&lt;=Complexity!$C$11,"Q1 (lowest)",IF(H58&lt;=Complexity!$C$12,"Q2",IF(H58&lt;=Complexity!$C$13,"Q3","Q4 (highest)")))</f>
        <v>Q3</v>
      </c>
      <c r="AC58" s="4" t="str">
        <f>IF(J58&lt;=Churn!$C$11,"Q1 (lowest)",IF(J58&lt;=Churn!$C$12,"Q2",IF(J58&lt;=Churn!$C$13,"Q3","Q4 (highest)")))</f>
        <v>Q1 (lowest)</v>
      </c>
      <c r="AD58" s="4" t="str">
        <f>IF(K58&lt;=40,"&lt;=40%",IF(K58&lt;=60,"40-60%",IF(K58&lt;=80,"60-80%","80%+")))</f>
        <v>60-80%</v>
      </c>
      <c r="AE58" s="4" t="str">
        <f>IF(M58&lt;=2,"1-2",IF(M58&lt;=4,"3-4",IF(M58&lt;=6,"5-6","7+")))</f>
        <v>1-2</v>
      </c>
    </row>
    <row r="59">
      <c r="A59" s="4" t="inlineStr">
        <is>
          <t>auth_oauth</t>
        </is>
      </c>
      <c r="B59" s="4" t="inlineStr">
        <is>
          <t>Auth</t>
        </is>
      </c>
      <c r="C59" s="4" t="inlineStr">
        <is>
          <t>Java</t>
        </is>
      </c>
      <c r="D59" s="4" t="inlineStr">
        <is>
          <t>v2.0</t>
        </is>
      </c>
      <c r="E59" s="40" t="n">
        <v>45545</v>
      </c>
      <c r="F59" s="4" t="n">
        <v>3</v>
      </c>
      <c r="G59" s="4" t="n">
        <v>619</v>
      </c>
      <c r="H59" s="18" t="n">
        <v>12.22</v>
      </c>
      <c r="I59" s="18" t="n">
        <v>10.79</v>
      </c>
      <c r="J59" s="29" t="n">
        <v>40</v>
      </c>
      <c r="K59" s="29" t="n">
        <v>76.2</v>
      </c>
      <c r="L59" s="4" t="n">
        <v>1</v>
      </c>
      <c r="M59" s="4" t="n">
        <v>1</v>
      </c>
      <c r="N59" s="4" t="n">
        <v>66</v>
      </c>
      <c r="O59" s="4" t="n">
        <v>0</v>
      </c>
      <c r="P59" s="4" t="n">
        <v>0</v>
      </c>
      <c r="Q59" s="4" t="n">
        <v>0</v>
      </c>
      <c r="R59" s="4" t="n">
        <v>0</v>
      </c>
      <c r="S59" s="4">
        <f>SUM(O59:R59)</f>
        <v>0</v>
      </c>
      <c r="T59" s="18">
        <f>J59/L59</f>
        <v>40</v>
      </c>
      <c r="U59" s="18">
        <f>S59/G59*1000</f>
        <v>0</v>
      </c>
      <c r="V59" s="4">
        <f>Q59+R59</f>
        <v>0</v>
      </c>
      <c r="W59" s="29">
        <f>100*((J59-MIN($J$2:$J$236))/(MAX($J$2:$J$236)-MIN($J$2:$J$236))+(H59-MIN($H$2:$H$236))/(MAX($H$2:$H$236)-MIN($H$2:$H$236))+(1-(K59-MIN($K$2:$K$236))/(MAX($K$2:$K$236)-MIN($K$2:$K$236))))/3</f>
        <v>20.9627173596422</v>
      </c>
      <c r="X59" s="4" t="n">
        <v>0</v>
      </c>
      <c r="Y59" s="4" t="n">
        <v>0</v>
      </c>
      <c r="Z59" s="4" t="n">
        <v>0</v>
      </c>
      <c r="AA59" s="4" t="inlineStr">
        <is>
          <t>No</t>
        </is>
      </c>
      <c r="AB59" s="4" t="str">
        <f>IF(H59&lt;=Complexity!$C$11,"Q1 (lowest)",IF(H59&lt;=Complexity!$C$12,"Q2",IF(H59&lt;=Complexity!$C$13,"Q3","Q4 (highest)")))</f>
        <v>Q2</v>
      </c>
      <c r="AC59" s="4" t="str">
        <f>IF(J59&lt;=Churn!$C$11,"Q1 (lowest)",IF(J59&lt;=Churn!$C$12,"Q2",IF(J59&lt;=Churn!$C$13,"Q3","Q4 (highest)")))</f>
        <v>Q1 (lowest)</v>
      </c>
      <c r="AD59" s="4" t="str">
        <f>IF(K59&lt;=40,"&lt;=40%",IF(K59&lt;=60,"40-60%",IF(K59&lt;=80,"60-80%","80%+")))</f>
        <v>60-80%</v>
      </c>
      <c r="AE59" s="4" t="str">
        <f>IF(M59&lt;=2,"1-2",IF(M59&lt;=4,"3-4",IF(M59&lt;=6,"5-6","7+")))</f>
        <v>1-2</v>
      </c>
    </row>
    <row r="60">
      <c r="A60" s="4" t="inlineStr">
        <is>
          <t>auth_oauth</t>
        </is>
      </c>
      <c r="B60" s="4" t="inlineStr">
        <is>
          <t>Auth</t>
        </is>
      </c>
      <c r="C60" s="4" t="inlineStr">
        <is>
          <t>Java</t>
        </is>
      </c>
      <c r="D60" s="4" t="inlineStr">
        <is>
          <t>v2.1</t>
        </is>
      </c>
      <c r="E60" s="40" t="n">
        <v>45706</v>
      </c>
      <c r="F60" s="4" t="n">
        <v>4</v>
      </c>
      <c r="G60" s="4" t="n">
        <v>619</v>
      </c>
      <c r="H60" s="18" t="n">
        <v>7.97</v>
      </c>
      <c r="I60" s="18" t="n">
        <v>7.65</v>
      </c>
      <c r="J60" s="29" t="n">
        <v>183.5</v>
      </c>
      <c r="K60" s="29" t="n">
        <v>87.3</v>
      </c>
      <c r="L60" s="4" t="n">
        <v>5</v>
      </c>
      <c r="M60" s="4" t="n">
        <v>3</v>
      </c>
      <c r="N60" s="4" t="n">
        <v>238</v>
      </c>
      <c r="O60" s="4" t="n">
        <v>1</v>
      </c>
      <c r="P60" s="4" t="n">
        <v>0</v>
      </c>
      <c r="Q60" s="4" t="n">
        <v>0</v>
      </c>
      <c r="R60" s="4" t="n">
        <v>0</v>
      </c>
      <c r="S60" s="4">
        <f>SUM(O60:R60)</f>
        <v>1</v>
      </c>
      <c r="T60" s="18">
        <f>J60/L60</f>
        <v>36.7</v>
      </c>
      <c r="U60" s="18">
        <f>S60/G60*1000</f>
        <v>1.61550888529887</v>
      </c>
      <c r="V60" s="4">
        <f>Q60+R60</f>
        <v>0</v>
      </c>
      <c r="W60" s="29">
        <f>100*((J60-MIN($J$2:$J$236))/(MAX($J$2:$J$236)-MIN($J$2:$J$236))+(H60-MIN($H$2:$H$236))/(MAX($H$2:$H$236)-MIN($H$2:$H$236))+(1-(K60-MIN($K$2:$K$236))/(MAX($K$2:$K$236)-MIN($K$2:$K$236))))/3</f>
        <v>15.3241135658195</v>
      </c>
      <c r="X60" s="4" t="n">
        <v>0</v>
      </c>
      <c r="Y60" s="4" t="n">
        <v>0</v>
      </c>
      <c r="Z60" s="4" t="n">
        <v>0</v>
      </c>
      <c r="AA60" s="4" t="inlineStr">
        <is>
          <t>No</t>
        </is>
      </c>
      <c r="AB60" s="4" t="str">
        <f>IF(H60&lt;=Complexity!$C$11,"Q1 (lowest)",IF(H60&lt;=Complexity!$C$12,"Q2",IF(H60&lt;=Complexity!$C$13,"Q3","Q4 (highest)")))</f>
        <v>Q1 (lowest)</v>
      </c>
      <c r="AC60" s="4" t="str">
        <f>IF(J60&lt;=Churn!$C$11,"Q1 (lowest)",IF(J60&lt;=Churn!$C$12,"Q2",IF(J60&lt;=Churn!$C$13,"Q3","Q4 (highest)")))</f>
        <v>Q2</v>
      </c>
      <c r="AD60" s="4" t="str">
        <f>IF(K60&lt;=40,"&lt;=40%",IF(K60&lt;=60,"40-60%",IF(K60&lt;=80,"60-80%","80%+")))</f>
        <v>80%+</v>
      </c>
      <c r="AE60" s="4" t="str">
        <f>IF(M60&lt;=2,"1-2",IF(M60&lt;=4,"3-4",IF(M60&lt;=6,"5-6","7+")))</f>
        <v>3-4</v>
      </c>
    </row>
    <row r="61">
      <c r="A61" s="4" t="inlineStr">
        <is>
          <t>auth_oauth</t>
        </is>
      </c>
      <c r="B61" s="4" t="inlineStr">
        <is>
          <t>Auth</t>
        </is>
      </c>
      <c r="C61" s="4" t="inlineStr">
        <is>
          <t>Java</t>
        </is>
      </c>
      <c r="D61" s="4" t="inlineStr">
        <is>
          <t>v3.0</t>
        </is>
      </c>
      <c r="E61" s="40" t="n">
        <v>45839</v>
      </c>
      <c r="F61" s="4" t="n">
        <v>5</v>
      </c>
      <c r="G61" s="4" t="n">
        <v>619</v>
      </c>
      <c r="H61" s="18" t="n">
        <v>12.67</v>
      </c>
      <c r="I61" s="18" t="n">
        <v>10.06</v>
      </c>
      <c r="J61" s="29" t="n">
        <v>111.6</v>
      </c>
      <c r="K61" s="29" t="n">
        <v>77.55000000000001</v>
      </c>
      <c r="L61" s="4" t="n">
        <v>2</v>
      </c>
      <c r="M61" s="4" t="n">
        <v>2</v>
      </c>
      <c r="N61" s="4" t="n">
        <v>195</v>
      </c>
      <c r="O61" s="4" t="n">
        <v>1</v>
      </c>
      <c r="P61" s="4" t="n">
        <v>0</v>
      </c>
      <c r="Q61" s="4" t="n">
        <v>0</v>
      </c>
      <c r="R61" s="4" t="n">
        <v>0</v>
      </c>
      <c r="S61" s="4">
        <f>SUM(O61:R61)</f>
        <v>1</v>
      </c>
      <c r="T61" s="18">
        <f>J61/L61</f>
        <v>55.8</v>
      </c>
      <c r="U61" s="18">
        <f>S61/G61*1000</f>
        <v>1.61550888529887</v>
      </c>
      <c r="V61" s="4">
        <f>Q61+R61</f>
        <v>0</v>
      </c>
      <c r="W61" s="29">
        <f>100*((J61-MIN($J$2:$J$236))/(MAX($J$2:$J$236)-MIN($J$2:$J$236))+(H61-MIN($H$2:$H$236))/(MAX($H$2:$H$236)-MIN($H$2:$H$236))+(1-(K61-MIN($K$2:$K$236))/(MAX($K$2:$K$236)-MIN($K$2:$K$236))))/3</f>
        <v>22.7880329320215</v>
      </c>
      <c r="X61" s="4" t="n">
        <v>1</v>
      </c>
      <c r="Y61" s="4" t="n">
        <v>0</v>
      </c>
      <c r="Z61" s="4" t="n">
        <v>0</v>
      </c>
      <c r="AA61" s="4" t="inlineStr">
        <is>
          <t>No</t>
        </is>
      </c>
      <c r="AB61" s="4" t="str">
        <f>IF(H61&lt;=Complexity!$C$11,"Q1 (lowest)",IF(H61&lt;=Complexity!$C$12,"Q2",IF(H61&lt;=Complexity!$C$13,"Q3","Q4 (highest)")))</f>
        <v>Q2</v>
      </c>
      <c r="AC61" s="4" t="str">
        <f>IF(J61&lt;=Churn!$C$11,"Q1 (lowest)",IF(J61&lt;=Churn!$C$12,"Q2",IF(J61&lt;=Churn!$C$13,"Q3","Q4 (highest)")))</f>
        <v>Q1 (lowest)</v>
      </c>
      <c r="AD61" s="4" t="str">
        <f>IF(K61&lt;=40,"&lt;=40%",IF(K61&lt;=60,"40-60%",IF(K61&lt;=80,"60-80%","80%+")))</f>
        <v>60-80%</v>
      </c>
      <c r="AE61" s="4" t="str">
        <f>IF(M61&lt;=2,"1-2",IF(M61&lt;=4,"3-4",IF(M61&lt;=6,"5-6","7+")))</f>
        <v>1-2</v>
      </c>
    </row>
    <row r="62">
      <c r="A62" s="4" t="inlineStr">
        <is>
          <t>auth_password</t>
        </is>
      </c>
      <c r="B62" s="4" t="inlineStr">
        <is>
          <t>Auth</t>
        </is>
      </c>
      <c r="C62" s="4" t="inlineStr">
        <is>
          <t>Python</t>
        </is>
      </c>
      <c r="D62" s="4" t="inlineStr">
        <is>
          <t>v1.0</t>
        </is>
      </c>
      <c r="E62" s="40" t="n">
        <v>45306</v>
      </c>
      <c r="F62" s="4" t="n">
        <v>1</v>
      </c>
      <c r="G62" s="4" t="n">
        <v>914</v>
      </c>
      <c r="H62" s="18" t="n">
        <v>14.66</v>
      </c>
      <c r="I62" s="18" t="n">
        <v>9.140000000000001</v>
      </c>
      <c r="J62" s="29" t="n">
        <v>160.7</v>
      </c>
      <c r="K62" s="29" t="n">
        <v>70.8</v>
      </c>
      <c r="L62" s="4" t="n">
        <v>5</v>
      </c>
      <c r="M62" s="4" t="n">
        <v>3</v>
      </c>
      <c r="N62" s="4" t="n">
        <v>244</v>
      </c>
      <c r="O62" s="4" t="n">
        <v>0</v>
      </c>
      <c r="P62" s="4" t="n">
        <v>0</v>
      </c>
      <c r="Q62" s="4" t="n">
        <v>0</v>
      </c>
      <c r="R62" s="4" t="n">
        <v>0</v>
      </c>
      <c r="S62" s="4">
        <f>SUM(O62:R62)</f>
        <v>0</v>
      </c>
      <c r="T62" s="18">
        <f>J62/L62</f>
        <v>32.14</v>
      </c>
      <c r="U62" s="18">
        <f>S62/G62*1000</f>
        <v>0</v>
      </c>
      <c r="V62" s="4">
        <f>Q62+R62</f>
        <v>0</v>
      </c>
      <c r="W62" s="29">
        <f>100*((J62-MIN($J$2:$J$236))/(MAX($J$2:$J$236)-MIN($J$2:$J$236))+(H62-MIN($H$2:$H$236))/(MAX($H$2:$H$236)-MIN($H$2:$H$236))+(1-(K62-MIN($K$2:$K$236))/(MAX($K$2:$K$236)-MIN($K$2:$K$236))))/3</f>
        <v>29.3248099701968</v>
      </c>
      <c r="X62" s="4" t="n">
        <v>0</v>
      </c>
      <c r="Y62" s="4" t="n">
        <v>0</v>
      </c>
      <c r="Z62" s="4" t="n">
        <v>0</v>
      </c>
      <c r="AA62" s="4" t="inlineStr">
        <is>
          <t>No</t>
        </is>
      </c>
      <c r="AB62" s="4" t="str">
        <f>IF(H62&lt;=Complexity!$C$11,"Q1 (lowest)",IF(H62&lt;=Complexity!$C$12,"Q2",IF(H62&lt;=Complexity!$C$13,"Q3","Q4 (highest)")))</f>
        <v>Q2</v>
      </c>
      <c r="AC62" s="4" t="str">
        <f>IF(J62&lt;=Churn!$C$11,"Q1 (lowest)",IF(J62&lt;=Churn!$C$12,"Q2",IF(J62&lt;=Churn!$C$13,"Q3","Q4 (highest)")))</f>
        <v>Q1 (lowest)</v>
      </c>
      <c r="AD62" s="4" t="str">
        <f>IF(K62&lt;=40,"&lt;=40%",IF(K62&lt;=60,"40-60%",IF(K62&lt;=80,"60-80%","80%+")))</f>
        <v>60-80%</v>
      </c>
      <c r="AE62" s="4" t="str">
        <f>IF(M62&lt;=2,"1-2",IF(M62&lt;=4,"3-4",IF(M62&lt;=6,"5-6","7+")))</f>
        <v>3-4</v>
      </c>
    </row>
    <row r="63">
      <c r="A63" s="4" t="inlineStr">
        <is>
          <t>auth_password</t>
        </is>
      </c>
      <c r="B63" s="4" t="inlineStr">
        <is>
          <t>Auth</t>
        </is>
      </c>
      <c r="C63" s="4" t="inlineStr">
        <is>
          <t>Python</t>
        </is>
      </c>
      <c r="D63" s="4" t="inlineStr">
        <is>
          <t>v1.1</t>
        </is>
      </c>
      <c r="E63" s="40" t="n">
        <v>45432</v>
      </c>
      <c r="F63" s="4" t="n">
        <v>2</v>
      </c>
      <c r="G63" s="4" t="n">
        <v>914</v>
      </c>
      <c r="H63" s="18" t="n">
        <v>8.42</v>
      </c>
      <c r="I63" s="18" t="n">
        <v>7.6</v>
      </c>
      <c r="J63" s="29" t="n">
        <v>56.7</v>
      </c>
      <c r="K63" s="29" t="n">
        <v>84.59999999999999</v>
      </c>
      <c r="L63" s="4" t="n">
        <v>2</v>
      </c>
      <c r="M63" s="4" t="n">
        <v>2</v>
      </c>
      <c r="N63" s="4" t="n">
        <v>94</v>
      </c>
      <c r="O63" s="4" t="n">
        <v>0</v>
      </c>
      <c r="P63" s="4" t="n">
        <v>0</v>
      </c>
      <c r="Q63" s="4" t="n">
        <v>0</v>
      </c>
      <c r="R63" s="4" t="n">
        <v>0</v>
      </c>
      <c r="S63" s="4">
        <f>SUM(O63:R63)</f>
        <v>0</v>
      </c>
      <c r="T63" s="18">
        <f>J63/L63</f>
        <v>28.35</v>
      </c>
      <c r="U63" s="18">
        <f>S63/G63*1000</f>
        <v>0</v>
      </c>
      <c r="V63" s="4">
        <f>Q63+R63</f>
        <v>0</v>
      </c>
      <c r="W63" s="29">
        <f>100*((J63-MIN($J$2:$J$236))/(MAX($J$2:$J$236)-MIN($J$2:$J$236))+(H63-MIN($H$2:$H$236))/(MAX($H$2:$H$236)-MIN($H$2:$H$236))+(1-(K63-MIN($K$2:$K$236))/(MAX($K$2:$K$236)-MIN($K$2:$K$236))))/3</f>
        <v>13.5562757825783</v>
      </c>
      <c r="X63" s="4" t="n">
        <v>0</v>
      </c>
      <c r="Y63" s="4" t="n">
        <v>0</v>
      </c>
      <c r="Z63" s="4" t="n">
        <v>0</v>
      </c>
      <c r="AA63" s="4" t="inlineStr">
        <is>
          <t>No</t>
        </is>
      </c>
      <c r="AB63" s="4" t="str">
        <f>IF(H63&lt;=Complexity!$C$11,"Q1 (lowest)",IF(H63&lt;=Complexity!$C$12,"Q2",IF(H63&lt;=Complexity!$C$13,"Q3","Q4 (highest)")))</f>
        <v>Q1 (lowest)</v>
      </c>
      <c r="AC63" s="4" t="str">
        <f>IF(J63&lt;=Churn!$C$11,"Q1 (lowest)",IF(J63&lt;=Churn!$C$12,"Q2",IF(J63&lt;=Churn!$C$13,"Q3","Q4 (highest)")))</f>
        <v>Q1 (lowest)</v>
      </c>
      <c r="AD63" s="4" t="str">
        <f>IF(K63&lt;=40,"&lt;=40%",IF(K63&lt;=60,"40-60%",IF(K63&lt;=80,"60-80%","80%+")))</f>
        <v>80%+</v>
      </c>
      <c r="AE63" s="4" t="str">
        <f>IF(M63&lt;=2,"1-2",IF(M63&lt;=4,"3-4",IF(M63&lt;=6,"5-6","7+")))</f>
        <v>1-2</v>
      </c>
    </row>
    <row r="64">
      <c r="A64" s="4" t="inlineStr">
        <is>
          <t>auth_password</t>
        </is>
      </c>
      <c r="B64" s="4" t="inlineStr">
        <is>
          <t>Auth</t>
        </is>
      </c>
      <c r="C64" s="4" t="inlineStr">
        <is>
          <t>Python</t>
        </is>
      </c>
      <c r="D64" s="4" t="inlineStr">
        <is>
          <t>v2.0</t>
        </is>
      </c>
      <c r="E64" s="40" t="n">
        <v>45545</v>
      </c>
      <c r="F64" s="4" t="n">
        <v>3</v>
      </c>
      <c r="G64" s="4" t="n">
        <v>914</v>
      </c>
      <c r="H64" s="18" t="n">
        <v>11.37</v>
      </c>
      <c r="I64" s="18" t="n">
        <v>6.65</v>
      </c>
      <c r="J64" s="29" t="n">
        <v>325.1</v>
      </c>
      <c r="K64" s="29" t="n">
        <v>65.90000000000001</v>
      </c>
      <c r="L64" s="4" t="n">
        <v>15</v>
      </c>
      <c r="M64" s="4" t="n">
        <v>5</v>
      </c>
      <c r="N64" s="4" t="n">
        <v>395</v>
      </c>
      <c r="O64" s="4" t="n">
        <v>0</v>
      </c>
      <c r="P64" s="4" t="n">
        <v>0</v>
      </c>
      <c r="Q64" s="4" t="n">
        <v>0</v>
      </c>
      <c r="R64" s="4" t="n">
        <v>0</v>
      </c>
      <c r="S64" s="4">
        <f>SUM(O64:R64)</f>
        <v>0</v>
      </c>
      <c r="T64" s="18">
        <f>J64/L64</f>
        <v>21.6733333333333</v>
      </c>
      <c r="U64" s="18">
        <f>S64/G64*1000</f>
        <v>0</v>
      </c>
      <c r="V64" s="4">
        <f>Q64+R64</f>
        <v>0</v>
      </c>
      <c r="W64" s="29">
        <f>100*((J64-MIN($J$2:$J$236))/(MAX($J$2:$J$236)-MIN($J$2:$J$236))+(H64-MIN($H$2:$H$236))/(MAX($H$2:$H$236)-MIN($H$2:$H$236))+(1-(K64-MIN($K$2:$K$236))/(MAX($K$2:$K$236)-MIN($K$2:$K$236))))/3</f>
        <v>32.5743141352146</v>
      </c>
      <c r="X64" s="4" t="n">
        <v>0</v>
      </c>
      <c r="Y64" s="4" t="n">
        <v>0</v>
      </c>
      <c r="Z64" s="4" t="n">
        <v>0</v>
      </c>
      <c r="AA64" s="4" t="inlineStr">
        <is>
          <t>No</t>
        </is>
      </c>
      <c r="AB64" s="4" t="str">
        <f>IF(H64&lt;=Complexity!$C$11,"Q1 (lowest)",IF(H64&lt;=Complexity!$C$12,"Q2",IF(H64&lt;=Complexity!$C$13,"Q3","Q4 (highest)")))</f>
        <v>Q2</v>
      </c>
      <c r="AC64" s="4" t="str">
        <f>IF(J64&lt;=Churn!$C$11,"Q1 (lowest)",IF(J64&lt;=Churn!$C$12,"Q2",IF(J64&lt;=Churn!$C$13,"Q3","Q4 (highest)")))</f>
        <v>Q3</v>
      </c>
      <c r="AD64" s="4" t="str">
        <f>IF(K64&lt;=40,"&lt;=40%",IF(K64&lt;=60,"40-60%",IF(K64&lt;=80,"60-80%","80%+")))</f>
        <v>60-80%</v>
      </c>
      <c r="AE64" s="4" t="str">
        <f>IF(M64&lt;=2,"1-2",IF(M64&lt;=4,"3-4",IF(M64&lt;=6,"5-6","7+")))</f>
        <v>5-6</v>
      </c>
    </row>
    <row r="65">
      <c r="A65" s="4" t="inlineStr">
        <is>
          <t>auth_password</t>
        </is>
      </c>
      <c r="B65" s="4" t="inlineStr">
        <is>
          <t>Auth</t>
        </is>
      </c>
      <c r="C65" s="4" t="inlineStr">
        <is>
          <t>Python</t>
        </is>
      </c>
      <c r="D65" s="4" t="inlineStr">
        <is>
          <t>v2.1</t>
        </is>
      </c>
      <c r="E65" s="40" t="n">
        <v>45706</v>
      </c>
      <c r="F65" s="4" t="n">
        <v>4</v>
      </c>
      <c r="G65" s="4" t="n">
        <v>914</v>
      </c>
      <c r="H65" s="18" t="n">
        <v>10.64</v>
      </c>
      <c r="I65" s="18" t="n">
        <v>6.04</v>
      </c>
      <c r="J65" s="29" t="n">
        <v>220.2</v>
      </c>
      <c r="K65" s="29" t="n">
        <v>73.2</v>
      </c>
      <c r="L65" s="4" t="n">
        <v>11</v>
      </c>
      <c r="M65" s="4" t="n">
        <v>4</v>
      </c>
      <c r="N65" s="4" t="n">
        <v>347</v>
      </c>
      <c r="O65" s="4" t="n">
        <v>0</v>
      </c>
      <c r="P65" s="4" t="n">
        <v>0</v>
      </c>
      <c r="Q65" s="4" t="n">
        <v>0</v>
      </c>
      <c r="R65" s="4" t="n">
        <v>0</v>
      </c>
      <c r="S65" s="4">
        <f>SUM(O65:R65)</f>
        <v>0</v>
      </c>
      <c r="T65" s="18">
        <f>J65/L65</f>
        <v>20.0181818181818</v>
      </c>
      <c r="U65" s="18">
        <f>S65/G65*1000</f>
        <v>0</v>
      </c>
      <c r="V65" s="4">
        <f>Q65+R65</f>
        <v>0</v>
      </c>
      <c r="W65" s="29">
        <f>100*((J65-MIN($J$2:$J$236))/(MAX($J$2:$J$236)-MIN($J$2:$J$236))+(H65-MIN($H$2:$H$236))/(MAX($H$2:$H$236)-MIN($H$2:$H$236))+(1-(K65-MIN($K$2:$K$236))/(MAX($K$2:$K$236)-MIN($K$2:$K$236))))/3</f>
        <v>25.5943359952561</v>
      </c>
      <c r="X65" s="4" t="n">
        <v>0</v>
      </c>
      <c r="Y65" s="4" t="n">
        <v>0</v>
      </c>
      <c r="Z65" s="4" t="n">
        <v>0</v>
      </c>
      <c r="AA65" s="4" t="inlineStr">
        <is>
          <t>No</t>
        </is>
      </c>
      <c r="AB65" s="4" t="str">
        <f>IF(H65&lt;=Complexity!$C$11,"Q1 (lowest)",IF(H65&lt;=Complexity!$C$12,"Q2",IF(H65&lt;=Complexity!$C$13,"Q3","Q4 (highest)")))</f>
        <v>Q2</v>
      </c>
      <c r="AC65" s="4" t="str">
        <f>IF(J65&lt;=Churn!$C$11,"Q1 (lowest)",IF(J65&lt;=Churn!$C$12,"Q2",IF(J65&lt;=Churn!$C$13,"Q3","Q4 (highest)")))</f>
        <v>Q2</v>
      </c>
      <c r="AD65" s="4" t="str">
        <f>IF(K65&lt;=40,"&lt;=40%",IF(K65&lt;=60,"40-60%",IF(K65&lt;=80,"60-80%","80%+")))</f>
        <v>60-80%</v>
      </c>
      <c r="AE65" s="4" t="str">
        <f>IF(M65&lt;=2,"1-2",IF(M65&lt;=4,"3-4",IF(M65&lt;=6,"5-6","7+")))</f>
        <v>3-4</v>
      </c>
    </row>
    <row r="66">
      <c r="A66" s="4" t="inlineStr">
        <is>
          <t>auth_password</t>
        </is>
      </c>
      <c r="B66" s="4" t="inlineStr">
        <is>
          <t>Auth</t>
        </is>
      </c>
      <c r="C66" s="4" t="inlineStr">
        <is>
          <t>Python</t>
        </is>
      </c>
      <c r="D66" s="4" t="inlineStr">
        <is>
          <t>v3.0</t>
        </is>
      </c>
      <c r="E66" s="40" t="n">
        <v>45839</v>
      </c>
      <c r="F66" s="4" t="n">
        <v>5</v>
      </c>
      <c r="G66" s="4" t="n">
        <v>914</v>
      </c>
      <c r="H66" s="18" t="n">
        <v>12.1</v>
      </c>
      <c r="I66" s="18" t="n">
        <v>9.550000000000001</v>
      </c>
      <c r="J66" s="29" t="n">
        <v>260</v>
      </c>
      <c r="K66" s="29" t="n">
        <v>73.7</v>
      </c>
      <c r="L66" s="4" t="n">
        <v>11</v>
      </c>
      <c r="M66" s="4" t="n">
        <v>3</v>
      </c>
      <c r="N66" s="4" t="n">
        <v>331</v>
      </c>
      <c r="O66" s="4" t="n">
        <v>0</v>
      </c>
      <c r="P66" s="4" t="n">
        <v>0</v>
      </c>
      <c r="Q66" s="4" t="n">
        <v>0</v>
      </c>
      <c r="R66" s="4" t="n">
        <v>0</v>
      </c>
      <c r="S66" s="4">
        <f>SUM(O66:R66)</f>
        <v>0</v>
      </c>
      <c r="T66" s="18">
        <f>J66/L66</f>
        <v>23.6363636363636</v>
      </c>
      <c r="U66" s="18">
        <f>S66/G66*1000</f>
        <v>0</v>
      </c>
      <c r="V66" s="4">
        <f>Q66+R66</f>
        <v>0</v>
      </c>
      <c r="W66" s="29">
        <f>100*((J66-MIN($J$2:$J$236))/(MAX($J$2:$J$236)-MIN($J$2:$J$236))+(H66-MIN($H$2:$H$236))/(MAX($H$2:$H$236)-MIN($H$2:$H$236))+(1-(K66-MIN($K$2:$K$236))/(MAX($K$2:$K$236)-MIN($K$2:$K$236))))/3</f>
        <v>28.007509663829</v>
      </c>
      <c r="X66" s="4" t="n">
        <v>0</v>
      </c>
      <c r="Y66" s="4" t="n">
        <v>0</v>
      </c>
      <c r="Z66" s="4" t="n">
        <v>0</v>
      </c>
      <c r="AA66" s="4" t="inlineStr">
        <is>
          <t>No</t>
        </is>
      </c>
      <c r="AB66" s="4" t="str">
        <f>IF(H66&lt;=Complexity!$C$11,"Q1 (lowest)",IF(H66&lt;=Complexity!$C$12,"Q2",IF(H66&lt;=Complexity!$C$13,"Q3","Q4 (highest)")))</f>
        <v>Q2</v>
      </c>
      <c r="AC66" s="4" t="str">
        <f>IF(J66&lt;=Churn!$C$11,"Q1 (lowest)",IF(J66&lt;=Churn!$C$12,"Q2",IF(J66&lt;=Churn!$C$13,"Q3","Q4 (highest)")))</f>
        <v>Q2</v>
      </c>
      <c r="AD66" s="4" t="str">
        <f>IF(K66&lt;=40,"&lt;=40%",IF(K66&lt;=60,"40-60%",IF(K66&lt;=80,"60-80%","80%+")))</f>
        <v>60-80%</v>
      </c>
      <c r="AE66" s="4" t="str">
        <f>IF(M66&lt;=2,"1-2",IF(M66&lt;=4,"3-4",IF(M66&lt;=6,"5-6","7+")))</f>
        <v>3-4</v>
      </c>
    </row>
    <row r="67">
      <c r="A67" s="4" t="inlineStr">
        <is>
          <t>auth_rbac</t>
        </is>
      </c>
      <c r="B67" s="4" t="inlineStr">
        <is>
          <t>Auth</t>
        </is>
      </c>
      <c r="C67" s="4" t="inlineStr">
        <is>
          <t>Python</t>
        </is>
      </c>
      <c r="D67" s="4" t="inlineStr">
        <is>
          <t>v1.0</t>
        </is>
      </c>
      <c r="E67" s="40" t="n">
        <v>45306</v>
      </c>
      <c r="F67" s="4" t="n">
        <v>1</v>
      </c>
      <c r="G67" s="4" t="n">
        <v>3386</v>
      </c>
      <c r="H67" s="18" t="n">
        <v>25.19</v>
      </c>
      <c r="I67" s="18" t="n">
        <v>14.93</v>
      </c>
      <c r="J67" s="29" t="n">
        <v>42.4</v>
      </c>
      <c r="K67" s="29" t="n">
        <v>71.90000000000001</v>
      </c>
      <c r="L67" s="4" t="n">
        <v>2</v>
      </c>
      <c r="M67" s="4" t="n">
        <v>1</v>
      </c>
      <c r="N67" s="4" t="n">
        <v>71</v>
      </c>
      <c r="O67" s="4" t="n">
        <v>0</v>
      </c>
      <c r="P67" s="4" t="n">
        <v>0</v>
      </c>
      <c r="Q67" s="4" t="n">
        <v>0</v>
      </c>
      <c r="R67" s="4" t="n">
        <v>0</v>
      </c>
      <c r="S67" s="4">
        <f>SUM(O67:R67)</f>
        <v>0</v>
      </c>
      <c r="T67" s="18">
        <f>J67/L67</f>
        <v>21.2</v>
      </c>
      <c r="U67" s="18">
        <f>S67/G67*1000</f>
        <v>0</v>
      </c>
      <c r="V67" s="4">
        <f>Q67+R67</f>
        <v>0</v>
      </c>
      <c r="W67" s="29">
        <f>100*((J67-MIN($J$2:$J$236))/(MAX($J$2:$J$236)-MIN($J$2:$J$236))+(H67-MIN($H$2:$H$236))/(MAX($H$2:$H$236)-MIN($H$2:$H$236))+(1-(K67-MIN($K$2:$K$236))/(MAX($K$2:$K$236)-MIN($K$2:$K$236))))/3</f>
        <v>36.7578848767051</v>
      </c>
      <c r="X67" s="4" t="n">
        <v>0</v>
      </c>
      <c r="Y67" s="4" t="n">
        <v>0</v>
      </c>
      <c r="Z67" s="4" t="n">
        <v>0</v>
      </c>
      <c r="AA67" s="4" t="inlineStr">
        <is>
          <t>No</t>
        </is>
      </c>
      <c r="AB67" s="4" t="str">
        <f>IF(H67&lt;=Complexity!$C$11,"Q1 (lowest)",IF(H67&lt;=Complexity!$C$12,"Q2",IF(H67&lt;=Complexity!$C$13,"Q3","Q4 (highest)")))</f>
        <v>Q4 (highest)</v>
      </c>
      <c r="AC67" s="4" t="str">
        <f>IF(J67&lt;=Churn!$C$11,"Q1 (lowest)",IF(J67&lt;=Churn!$C$12,"Q2",IF(J67&lt;=Churn!$C$13,"Q3","Q4 (highest)")))</f>
        <v>Q1 (lowest)</v>
      </c>
      <c r="AD67" s="4" t="str">
        <f>IF(K67&lt;=40,"&lt;=40%",IF(K67&lt;=60,"40-60%",IF(K67&lt;=80,"60-80%","80%+")))</f>
        <v>60-80%</v>
      </c>
      <c r="AE67" s="4" t="str">
        <f>IF(M67&lt;=2,"1-2",IF(M67&lt;=4,"3-4",IF(M67&lt;=6,"5-6","7+")))</f>
        <v>1-2</v>
      </c>
    </row>
    <row r="68">
      <c r="A68" s="4" t="inlineStr">
        <is>
          <t>auth_rbac</t>
        </is>
      </c>
      <c r="B68" s="4" t="inlineStr">
        <is>
          <t>Auth</t>
        </is>
      </c>
      <c r="C68" s="4" t="inlineStr">
        <is>
          <t>Python</t>
        </is>
      </c>
      <c r="D68" s="4" t="inlineStr">
        <is>
          <t>v1.1</t>
        </is>
      </c>
      <c r="E68" s="40" t="n">
        <v>45432</v>
      </c>
      <c r="F68" s="4" t="n">
        <v>2</v>
      </c>
      <c r="G68" s="4" t="n">
        <v>3386</v>
      </c>
      <c r="H68" s="18" t="n">
        <v>13.41</v>
      </c>
      <c r="I68" s="18" t="n">
        <v>8.44</v>
      </c>
      <c r="J68" s="29" t="n">
        <v>345.6</v>
      </c>
      <c r="K68" s="29" t="n">
        <v>76.3</v>
      </c>
      <c r="L68" s="4" t="n">
        <v>16</v>
      </c>
      <c r="M68" s="4" t="n">
        <v>3</v>
      </c>
      <c r="N68" s="4" t="n">
        <v>592</v>
      </c>
      <c r="O68" s="4" t="n">
        <v>0</v>
      </c>
      <c r="P68" s="4" t="n">
        <v>0</v>
      </c>
      <c r="Q68" s="4" t="n">
        <v>0</v>
      </c>
      <c r="R68" s="4" t="n">
        <v>0</v>
      </c>
      <c r="S68" s="4">
        <f>SUM(O68:R68)</f>
        <v>0</v>
      </c>
      <c r="T68" s="18">
        <f>J68/L68</f>
        <v>21.6</v>
      </c>
      <c r="U68" s="18">
        <f>S68/G68*1000</f>
        <v>0</v>
      </c>
      <c r="V68" s="4">
        <f>Q68+R68</f>
        <v>0</v>
      </c>
      <c r="W68" s="29">
        <f>100*((J68-MIN($J$2:$J$236))/(MAX($J$2:$J$236)-MIN($J$2:$J$236))+(H68-MIN($H$2:$H$236))/(MAX($H$2:$H$236)-MIN($H$2:$H$236))+(1-(K68-MIN($K$2:$K$236))/(MAX($K$2:$K$236)-MIN($K$2:$K$236))))/3</f>
        <v>30.5596475976638</v>
      </c>
      <c r="X68" s="4" t="n">
        <v>0</v>
      </c>
      <c r="Y68" s="4" t="n">
        <v>0</v>
      </c>
      <c r="Z68" s="4" t="n">
        <v>0</v>
      </c>
      <c r="AA68" s="4" t="inlineStr">
        <is>
          <t>No</t>
        </is>
      </c>
      <c r="AB68" s="4" t="str">
        <f>IF(H68&lt;=Complexity!$C$11,"Q1 (lowest)",IF(H68&lt;=Complexity!$C$12,"Q2",IF(H68&lt;=Complexity!$C$13,"Q3","Q4 (highest)")))</f>
        <v>Q2</v>
      </c>
      <c r="AC68" s="4" t="str">
        <f>IF(J68&lt;=Churn!$C$11,"Q1 (lowest)",IF(J68&lt;=Churn!$C$12,"Q2",IF(J68&lt;=Churn!$C$13,"Q3","Q4 (highest)")))</f>
        <v>Q3</v>
      </c>
      <c r="AD68" s="4" t="str">
        <f>IF(K68&lt;=40,"&lt;=40%",IF(K68&lt;=60,"40-60%",IF(K68&lt;=80,"60-80%","80%+")))</f>
        <v>60-80%</v>
      </c>
      <c r="AE68" s="4" t="str">
        <f>IF(M68&lt;=2,"1-2",IF(M68&lt;=4,"3-4",IF(M68&lt;=6,"5-6","7+")))</f>
        <v>3-4</v>
      </c>
    </row>
    <row r="69">
      <c r="A69" s="4" t="inlineStr">
        <is>
          <t>auth_rbac</t>
        </is>
      </c>
      <c r="B69" s="4" t="inlineStr">
        <is>
          <t>Auth</t>
        </is>
      </c>
      <c r="C69" s="4" t="inlineStr">
        <is>
          <t>Python</t>
        </is>
      </c>
      <c r="D69" s="4" t="inlineStr">
        <is>
          <t>v2.0</t>
        </is>
      </c>
      <c r="E69" s="40" t="n">
        <v>45545</v>
      </c>
      <c r="F69" s="4" t="n">
        <v>3</v>
      </c>
      <c r="G69" s="4" t="n">
        <v>3386</v>
      </c>
      <c r="H69" s="18" t="n">
        <v>19.59</v>
      </c>
      <c r="I69" s="18" t="n">
        <v>14.22</v>
      </c>
      <c r="J69" s="29" t="n">
        <v>285.2</v>
      </c>
      <c r="K69" s="29" t="n">
        <v>76</v>
      </c>
      <c r="L69" s="4" t="n">
        <v>15</v>
      </c>
      <c r="M69" s="4" t="n">
        <v>3</v>
      </c>
      <c r="N69" s="4" t="n">
        <v>342</v>
      </c>
      <c r="O69" s="4" t="n">
        <v>1</v>
      </c>
      <c r="P69" s="4" t="n">
        <v>0</v>
      </c>
      <c r="Q69" s="4" t="n">
        <v>0</v>
      </c>
      <c r="R69" s="4" t="n">
        <v>0</v>
      </c>
      <c r="S69" s="4">
        <f>SUM(O69:R69)</f>
        <v>1</v>
      </c>
      <c r="T69" s="18">
        <f>J69/L69</f>
        <v>19.0133333333333</v>
      </c>
      <c r="U69" s="18">
        <f>S69/G69*1000</f>
        <v>0.295333727111636</v>
      </c>
      <c r="V69" s="4">
        <f>Q69+R69</f>
        <v>0</v>
      </c>
      <c r="W69" s="29">
        <f>100*((J69-MIN($J$2:$J$236))/(MAX($J$2:$J$236)-MIN($J$2:$J$236))+(H69-MIN($H$2:$H$236))/(MAX($H$2:$H$236)-MIN($H$2:$H$236))+(1-(K69-MIN($K$2:$K$236))/(MAX($K$2:$K$236)-MIN($K$2:$K$236))))/3</f>
        <v>35.6008457231745</v>
      </c>
      <c r="X69" s="4" t="n">
        <v>0</v>
      </c>
      <c r="Y69" s="4" t="n">
        <v>0</v>
      </c>
      <c r="Z69" s="4" t="n">
        <v>0</v>
      </c>
      <c r="AA69" s="4" t="inlineStr">
        <is>
          <t>No</t>
        </is>
      </c>
      <c r="AB69" s="4" t="str">
        <f>IF(H69&lt;=Complexity!$C$11,"Q1 (lowest)",IF(H69&lt;=Complexity!$C$12,"Q2",IF(H69&lt;=Complexity!$C$13,"Q3","Q4 (highest)")))</f>
        <v>Q4 (highest)</v>
      </c>
      <c r="AC69" s="4" t="str">
        <f>IF(J69&lt;=Churn!$C$11,"Q1 (lowest)",IF(J69&lt;=Churn!$C$12,"Q2",IF(J69&lt;=Churn!$C$13,"Q3","Q4 (highest)")))</f>
        <v>Q3</v>
      </c>
      <c r="AD69" s="4" t="str">
        <f>IF(K69&lt;=40,"&lt;=40%",IF(K69&lt;=60,"40-60%",IF(K69&lt;=80,"60-80%","80%+")))</f>
        <v>60-80%</v>
      </c>
      <c r="AE69" s="4" t="str">
        <f>IF(M69&lt;=2,"1-2",IF(M69&lt;=4,"3-4",IF(M69&lt;=6,"5-6","7+")))</f>
        <v>3-4</v>
      </c>
    </row>
    <row r="70">
      <c r="A70" s="4" t="inlineStr">
        <is>
          <t>auth_rbac</t>
        </is>
      </c>
      <c r="B70" s="4" t="inlineStr">
        <is>
          <t>Auth</t>
        </is>
      </c>
      <c r="C70" s="4" t="inlineStr">
        <is>
          <t>Python</t>
        </is>
      </c>
      <c r="D70" s="4" t="inlineStr">
        <is>
          <t>v2.1</t>
        </is>
      </c>
      <c r="E70" s="40" t="n">
        <v>45706</v>
      </c>
      <c r="F70" s="4" t="n">
        <v>4</v>
      </c>
      <c r="G70" s="4" t="n">
        <v>3386</v>
      </c>
      <c r="H70" s="18" t="n">
        <v>17.03</v>
      </c>
      <c r="I70" s="18" t="n">
        <v>12.7</v>
      </c>
      <c r="J70" s="29" t="n">
        <v>215.8</v>
      </c>
      <c r="K70" s="29" t="n">
        <v>79.59999999999999</v>
      </c>
      <c r="L70" s="4" t="n">
        <v>6</v>
      </c>
      <c r="M70" s="4" t="n">
        <v>3</v>
      </c>
      <c r="N70" s="4" t="n">
        <v>273</v>
      </c>
      <c r="O70" s="4" t="n">
        <v>0</v>
      </c>
      <c r="P70" s="4" t="n">
        <v>0</v>
      </c>
      <c r="Q70" s="4" t="n">
        <v>1</v>
      </c>
      <c r="R70" s="4" t="n">
        <v>0</v>
      </c>
      <c r="S70" s="4">
        <f>SUM(O70:R70)</f>
        <v>1</v>
      </c>
      <c r="T70" s="18">
        <f>J70/L70</f>
        <v>35.9666666666667</v>
      </c>
      <c r="U70" s="18">
        <f>S70/G70*1000</f>
        <v>0.295333727111636</v>
      </c>
      <c r="V70" s="4">
        <f>Q70+R70</f>
        <v>1</v>
      </c>
      <c r="W70" s="29">
        <f>100*((J70-MIN($J$2:$J$236))/(MAX($J$2:$J$236)-MIN($J$2:$J$236))+(H70-MIN($H$2:$H$236))/(MAX($H$2:$H$236)-MIN($H$2:$H$236))+(1-(K70-MIN($K$2:$K$236))/(MAX($K$2:$K$236)-MIN($K$2:$K$236))))/3</f>
        <v>29.3387550335323</v>
      </c>
      <c r="X70" s="4" t="n">
        <v>1</v>
      </c>
      <c r="Y70" s="4" t="n">
        <v>0</v>
      </c>
      <c r="Z70" s="4" t="n">
        <v>0</v>
      </c>
      <c r="AA70" s="4" t="inlineStr">
        <is>
          <t>No</t>
        </is>
      </c>
      <c r="AB70" s="4" t="str">
        <f>IF(H70&lt;=Complexity!$C$11,"Q1 (lowest)",IF(H70&lt;=Complexity!$C$12,"Q2",IF(H70&lt;=Complexity!$C$13,"Q3","Q4 (highest)")))</f>
        <v>Q3</v>
      </c>
      <c r="AC70" s="4" t="str">
        <f>IF(J70&lt;=Churn!$C$11,"Q1 (lowest)",IF(J70&lt;=Churn!$C$12,"Q2",IF(J70&lt;=Churn!$C$13,"Q3","Q4 (highest)")))</f>
        <v>Q2</v>
      </c>
      <c r="AD70" s="4" t="str">
        <f>IF(K70&lt;=40,"&lt;=40%",IF(K70&lt;=60,"40-60%",IF(K70&lt;=80,"60-80%","80%+")))</f>
        <v>60-80%</v>
      </c>
      <c r="AE70" s="4" t="str">
        <f>IF(M70&lt;=2,"1-2",IF(M70&lt;=4,"3-4",IF(M70&lt;=6,"5-6","7+")))</f>
        <v>3-4</v>
      </c>
    </row>
    <row r="71">
      <c r="A71" s="4" t="inlineStr">
        <is>
          <t>auth_rbac</t>
        </is>
      </c>
      <c r="B71" s="4" t="inlineStr">
        <is>
          <t>Auth</t>
        </is>
      </c>
      <c r="C71" s="4" t="inlineStr">
        <is>
          <t>Python</t>
        </is>
      </c>
      <c r="D71" s="4" t="inlineStr">
        <is>
          <t>v3.0</t>
        </is>
      </c>
      <c r="E71" s="40" t="n">
        <v>45839</v>
      </c>
      <c r="F71" s="4" t="n">
        <v>5</v>
      </c>
      <c r="G71" s="4" t="n">
        <v>3386</v>
      </c>
      <c r="H71" s="18" t="n">
        <v>20.46</v>
      </c>
      <c r="I71" s="18" t="n">
        <v>12.64</v>
      </c>
      <c r="J71" s="29" t="n">
        <v>296.5</v>
      </c>
      <c r="K71" s="29" t="n">
        <v>76.15000000000001</v>
      </c>
      <c r="L71" s="4" t="n">
        <v>15</v>
      </c>
      <c r="M71" s="4" t="n">
        <v>3</v>
      </c>
      <c r="N71" s="4" t="n">
        <v>352</v>
      </c>
      <c r="O71" s="4" t="n">
        <v>0</v>
      </c>
      <c r="P71" s="4" t="n">
        <v>0</v>
      </c>
      <c r="Q71" s="4" t="n">
        <v>0</v>
      </c>
      <c r="R71" s="4" t="n">
        <v>0</v>
      </c>
      <c r="S71" s="4">
        <f>SUM(O71:R71)</f>
        <v>0</v>
      </c>
      <c r="T71" s="18">
        <f>J71/L71</f>
        <v>19.7666666666667</v>
      </c>
      <c r="U71" s="18">
        <f>S71/G71*1000</f>
        <v>0</v>
      </c>
      <c r="V71" s="4">
        <f>Q71+R71</f>
        <v>0</v>
      </c>
      <c r="W71" s="29">
        <f>100*((J71-MIN($J$2:$J$236))/(MAX($J$2:$J$236)-MIN($J$2:$J$236))+(H71-MIN($H$2:$H$236))/(MAX($H$2:$H$236)-MIN($H$2:$H$236))+(1-(K71-MIN($K$2:$K$236))/(MAX($K$2:$K$236)-MIN($K$2:$K$236))))/3</f>
        <v>36.7658483608889</v>
      </c>
      <c r="X71" s="4" t="n">
        <v>1</v>
      </c>
      <c r="Y71" s="4" t="n">
        <v>0</v>
      </c>
      <c r="Z71" s="4" t="n">
        <v>0</v>
      </c>
      <c r="AA71" s="4" t="inlineStr">
        <is>
          <t>No</t>
        </is>
      </c>
      <c r="AB71" s="4" t="str">
        <f>IF(H71&lt;=Complexity!$C$11,"Q1 (lowest)",IF(H71&lt;=Complexity!$C$12,"Q2",IF(H71&lt;=Complexity!$C$13,"Q3","Q4 (highest)")))</f>
        <v>Q4 (highest)</v>
      </c>
      <c r="AC71" s="4" t="str">
        <f>IF(J71&lt;=Churn!$C$11,"Q1 (lowest)",IF(J71&lt;=Churn!$C$12,"Q2",IF(J71&lt;=Churn!$C$13,"Q3","Q4 (highest)")))</f>
        <v>Q3</v>
      </c>
      <c r="AD71" s="4" t="str">
        <f>IF(K71&lt;=40,"&lt;=40%",IF(K71&lt;=60,"40-60%",IF(K71&lt;=80,"60-80%","80%+")))</f>
        <v>60-80%</v>
      </c>
      <c r="AE71" s="4" t="str">
        <f>IF(M71&lt;=2,"1-2",IF(M71&lt;=4,"3-4",IF(M71&lt;=6,"5-6","7+")))</f>
        <v>3-4</v>
      </c>
    </row>
    <row r="72">
      <c r="A72" s="4" t="inlineStr">
        <is>
          <t>auth_session</t>
        </is>
      </c>
      <c r="B72" s="4" t="inlineStr">
        <is>
          <t>Auth</t>
        </is>
      </c>
      <c r="C72" s="4" t="inlineStr">
        <is>
          <t>Python</t>
        </is>
      </c>
      <c r="D72" s="4" t="inlineStr">
        <is>
          <t>v1.0</t>
        </is>
      </c>
      <c r="E72" s="40" t="n">
        <v>45306</v>
      </c>
      <c r="F72" s="4" t="n">
        <v>1</v>
      </c>
      <c r="G72" s="4" t="n">
        <v>3134</v>
      </c>
      <c r="H72" s="18" t="n">
        <v>21.34</v>
      </c>
      <c r="I72" s="18" t="n">
        <v>14.04</v>
      </c>
      <c r="J72" s="29" t="n">
        <v>1046.8</v>
      </c>
      <c r="K72" s="29" t="n">
        <v>39.9</v>
      </c>
      <c r="L72" s="4" t="n">
        <v>51</v>
      </c>
      <c r="M72" s="4" t="n">
        <v>8</v>
      </c>
      <c r="N72" s="4" t="n">
        <v>1276</v>
      </c>
      <c r="O72" s="4" t="n">
        <v>3</v>
      </c>
      <c r="P72" s="4" t="n">
        <v>4</v>
      </c>
      <c r="Q72" s="4" t="n">
        <v>1</v>
      </c>
      <c r="R72" s="4" t="n">
        <v>0</v>
      </c>
      <c r="S72" s="4">
        <f>SUM(O72:R72)</f>
        <v>8</v>
      </c>
      <c r="T72" s="18">
        <f>J72/L72</f>
        <v>20.5254901960784</v>
      </c>
      <c r="U72" s="18">
        <f>S72/G72*1000</f>
        <v>2.55264837268666</v>
      </c>
      <c r="V72" s="4">
        <f>Q72+R72</f>
        <v>1</v>
      </c>
      <c r="W72" s="29">
        <f>100*((J72-MIN($J$2:$J$236))/(MAX($J$2:$J$236)-MIN($J$2:$J$236))+(H72-MIN($H$2:$H$236))/(MAX($H$2:$H$236)-MIN($H$2:$H$236))+(1-(K72-MIN($K$2:$K$236))/(MAX($K$2:$K$236)-MIN($K$2:$K$236))))/3</f>
        <v>74.8024083773939</v>
      </c>
      <c r="X72" s="4" t="n">
        <v>0</v>
      </c>
      <c r="Y72" s="4" t="n">
        <v>1</v>
      </c>
      <c r="Z72" s="4" t="n">
        <v>1</v>
      </c>
      <c r="AA72" s="4" t="inlineStr">
        <is>
          <t>No</t>
        </is>
      </c>
      <c r="AB72" s="4" t="str">
        <f>IF(H72&lt;=Complexity!$C$11,"Q1 (lowest)",IF(H72&lt;=Complexity!$C$12,"Q2",IF(H72&lt;=Complexity!$C$13,"Q3","Q4 (highest)")))</f>
        <v>Q4 (highest)</v>
      </c>
      <c r="AC72" s="4" t="str">
        <f>IF(J72&lt;=Churn!$C$11,"Q1 (lowest)",IF(J72&lt;=Churn!$C$12,"Q2",IF(J72&lt;=Churn!$C$13,"Q3","Q4 (highest)")))</f>
        <v>Q4 (highest)</v>
      </c>
      <c r="AD72" s="4" t="str">
        <f>IF(K72&lt;=40,"&lt;=40%",IF(K72&lt;=60,"40-60%",IF(K72&lt;=80,"60-80%","80%+")))</f>
        <v>&lt;=40%</v>
      </c>
      <c r="AE72" s="4" t="str">
        <f>IF(M72&lt;=2,"1-2",IF(M72&lt;=4,"3-4",IF(M72&lt;=6,"5-6","7+")))</f>
        <v>7+</v>
      </c>
    </row>
    <row r="73">
      <c r="A73" s="4" t="inlineStr">
        <is>
          <t>auth_session</t>
        </is>
      </c>
      <c r="B73" s="4" t="inlineStr">
        <is>
          <t>Auth</t>
        </is>
      </c>
      <c r="C73" s="4" t="inlineStr">
        <is>
          <t>Python</t>
        </is>
      </c>
      <c r="D73" s="4" t="inlineStr">
        <is>
          <t>v1.1</t>
        </is>
      </c>
      <c r="E73" s="40" t="n">
        <v>45432</v>
      </c>
      <c r="F73" s="4" t="n">
        <v>2</v>
      </c>
      <c r="G73" s="4" t="n">
        <v>3134</v>
      </c>
      <c r="H73" s="18" t="n">
        <v>26.79</v>
      </c>
      <c r="I73" s="18" t="n">
        <v>21.88</v>
      </c>
      <c r="J73" s="29" t="n">
        <v>612.5</v>
      </c>
      <c r="K73" s="29" t="n">
        <v>24.9</v>
      </c>
      <c r="L73" s="4" t="n">
        <v>25</v>
      </c>
      <c r="M73" s="4" t="n">
        <v>5</v>
      </c>
      <c r="N73" s="4" t="n">
        <v>897</v>
      </c>
      <c r="O73" s="4" t="n">
        <v>3</v>
      </c>
      <c r="P73" s="4" t="n">
        <v>1</v>
      </c>
      <c r="Q73" s="4" t="n">
        <v>0</v>
      </c>
      <c r="R73" s="4" t="n">
        <v>0</v>
      </c>
      <c r="S73" s="4">
        <f>SUM(O73:R73)</f>
        <v>4</v>
      </c>
      <c r="T73" s="18">
        <f>J73/L73</f>
        <v>24.5</v>
      </c>
      <c r="U73" s="18">
        <f>S73/G73*1000</f>
        <v>1.27632418634333</v>
      </c>
      <c r="V73" s="4">
        <f>Q73+R73</f>
        <v>0</v>
      </c>
      <c r="W73" s="29">
        <f>100*((J73-MIN($J$2:$J$236))/(MAX($J$2:$J$236)-MIN($J$2:$J$236))+(H73-MIN($H$2:$H$236))/(MAX($H$2:$H$236)-MIN($H$2:$H$236))+(1-(K73-MIN($K$2:$K$236))/(MAX($K$2:$K$236)-MIN($K$2:$K$236))))/3</f>
        <v>75.5198249302692</v>
      </c>
      <c r="X73" s="4" t="n">
        <v>8</v>
      </c>
      <c r="Y73" s="4" t="n">
        <v>1</v>
      </c>
      <c r="Z73" s="4" t="n">
        <v>1</v>
      </c>
      <c r="AA73" s="4" t="inlineStr">
        <is>
          <t>No</t>
        </is>
      </c>
      <c r="AB73" s="4" t="str">
        <f>IF(H73&lt;=Complexity!$C$11,"Q1 (lowest)",IF(H73&lt;=Complexity!$C$12,"Q2",IF(H73&lt;=Complexity!$C$13,"Q3","Q4 (highest)")))</f>
        <v>Q4 (highest)</v>
      </c>
      <c r="AC73" s="4" t="str">
        <f>IF(J73&lt;=Churn!$C$11,"Q1 (lowest)",IF(J73&lt;=Churn!$C$12,"Q2",IF(J73&lt;=Churn!$C$13,"Q3","Q4 (highest)")))</f>
        <v>Q4 (highest)</v>
      </c>
      <c r="AD73" s="4" t="str">
        <f>IF(K73&lt;=40,"&lt;=40%",IF(K73&lt;=60,"40-60%",IF(K73&lt;=80,"60-80%","80%+")))</f>
        <v>&lt;=40%</v>
      </c>
      <c r="AE73" s="4" t="str">
        <f>IF(M73&lt;=2,"1-2",IF(M73&lt;=4,"3-4",IF(M73&lt;=6,"5-6","7+")))</f>
        <v>5-6</v>
      </c>
    </row>
    <row r="74">
      <c r="A74" s="4" t="inlineStr">
        <is>
          <t>auth_session</t>
        </is>
      </c>
      <c r="B74" s="4" t="inlineStr">
        <is>
          <t>Auth</t>
        </is>
      </c>
      <c r="C74" s="4" t="inlineStr">
        <is>
          <t>Python</t>
        </is>
      </c>
      <c r="D74" s="4" t="inlineStr">
        <is>
          <t>v2.0</t>
        </is>
      </c>
      <c r="E74" s="40" t="n">
        <v>45545</v>
      </c>
      <c r="F74" s="4" t="n">
        <v>3</v>
      </c>
      <c r="G74" s="4" t="n">
        <v>3134</v>
      </c>
      <c r="H74" s="18" t="n">
        <v>17.7</v>
      </c>
      <c r="I74" s="18" t="n">
        <v>8.609999999999999</v>
      </c>
      <c r="J74" s="29" t="n">
        <v>329.8</v>
      </c>
      <c r="K74" s="29" t="n">
        <v>39.4</v>
      </c>
      <c r="L74" s="4" t="n">
        <v>9</v>
      </c>
      <c r="M74" s="4" t="n">
        <v>4</v>
      </c>
      <c r="N74" s="4" t="n">
        <v>387</v>
      </c>
      <c r="O74" s="4" t="n">
        <v>0</v>
      </c>
      <c r="P74" s="4" t="n">
        <v>2</v>
      </c>
      <c r="Q74" s="4" t="n">
        <v>0</v>
      </c>
      <c r="R74" s="4" t="n">
        <v>0</v>
      </c>
      <c r="S74" s="4">
        <f>SUM(O74:R74)</f>
        <v>2</v>
      </c>
      <c r="T74" s="18">
        <f>J74/L74</f>
        <v>36.6444444444444</v>
      </c>
      <c r="U74" s="18">
        <f>S74/G74*1000</f>
        <v>0.638162093171666</v>
      </c>
      <c r="V74" s="4">
        <f>Q74+R74</f>
        <v>0</v>
      </c>
      <c r="W74" s="29">
        <f>100*((J74-MIN($J$2:$J$236))/(MAX($J$2:$J$236)-MIN($J$2:$J$236))+(H74-MIN($H$2:$H$236))/(MAX($H$2:$H$236)-MIN($H$2:$H$236))+(1-(K74-MIN($K$2:$K$236))/(MAX($K$2:$K$236)-MIN($K$2:$K$236))))/3</f>
        <v>51.5068321996815</v>
      </c>
      <c r="X74" s="4" t="n">
        <v>4</v>
      </c>
      <c r="Y74" s="4" t="n">
        <v>1</v>
      </c>
      <c r="Z74" s="4" t="n">
        <v>0</v>
      </c>
      <c r="AA74" s="4" t="inlineStr">
        <is>
          <t>No</t>
        </is>
      </c>
      <c r="AB74" s="4" t="str">
        <f>IF(H74&lt;=Complexity!$C$11,"Q1 (lowest)",IF(H74&lt;=Complexity!$C$12,"Q2",IF(H74&lt;=Complexity!$C$13,"Q3","Q4 (highest)")))</f>
        <v>Q3</v>
      </c>
      <c r="AC74" s="4" t="str">
        <f>IF(J74&lt;=Churn!$C$11,"Q1 (lowest)",IF(J74&lt;=Churn!$C$12,"Q2",IF(J74&lt;=Churn!$C$13,"Q3","Q4 (highest)")))</f>
        <v>Q3</v>
      </c>
      <c r="AD74" s="4" t="str">
        <f>IF(K74&lt;=40,"&lt;=40%",IF(K74&lt;=60,"40-60%",IF(K74&lt;=80,"60-80%","80%+")))</f>
        <v>&lt;=40%</v>
      </c>
      <c r="AE74" s="4" t="str">
        <f>IF(M74&lt;=2,"1-2",IF(M74&lt;=4,"3-4",IF(M74&lt;=6,"5-6","7+")))</f>
        <v>3-4</v>
      </c>
    </row>
    <row r="75">
      <c r="A75" s="4" t="inlineStr">
        <is>
          <t>auth_session</t>
        </is>
      </c>
      <c r="B75" s="4" t="inlineStr">
        <is>
          <t>Auth</t>
        </is>
      </c>
      <c r="C75" s="4" t="inlineStr">
        <is>
          <t>Python</t>
        </is>
      </c>
      <c r="D75" s="4" t="inlineStr">
        <is>
          <t>v2.1</t>
        </is>
      </c>
      <c r="E75" s="40" t="n">
        <v>45706</v>
      </c>
      <c r="F75" s="4" t="n">
        <v>4</v>
      </c>
      <c r="G75" s="4" t="n">
        <v>3134</v>
      </c>
      <c r="H75" s="18" t="n">
        <v>18.63</v>
      </c>
      <c r="I75" s="18" t="n">
        <v>16.64</v>
      </c>
      <c r="J75" s="29" t="n">
        <v>252.4</v>
      </c>
      <c r="K75" s="29" t="n">
        <v>32.3</v>
      </c>
      <c r="L75" s="4" t="n">
        <v>6</v>
      </c>
      <c r="M75" s="4" t="n">
        <v>2</v>
      </c>
      <c r="N75" s="4" t="n">
        <v>368</v>
      </c>
      <c r="O75" s="4" t="n">
        <v>2</v>
      </c>
      <c r="P75" s="4" t="n">
        <v>0</v>
      </c>
      <c r="Q75" s="4" t="n">
        <v>0</v>
      </c>
      <c r="R75" s="4" t="n">
        <v>0</v>
      </c>
      <c r="S75" s="4">
        <f>SUM(O75:R75)</f>
        <v>2</v>
      </c>
      <c r="T75" s="18">
        <f>J75/L75</f>
        <v>42.0666666666667</v>
      </c>
      <c r="U75" s="18">
        <f>S75/G75*1000</f>
        <v>0.638162093171666</v>
      </c>
      <c r="V75" s="4">
        <f>Q75+R75</f>
        <v>0</v>
      </c>
      <c r="W75" s="29">
        <f>100*((J75-MIN($J$2:$J$236))/(MAX($J$2:$J$236)-MIN($J$2:$J$236))+(H75-MIN($H$2:$H$236))/(MAX($H$2:$H$236)-MIN($H$2:$H$236))+(1-(K75-MIN($K$2:$K$236))/(MAX($K$2:$K$236)-MIN($K$2:$K$236))))/3</f>
        <v>53.609433341777</v>
      </c>
      <c r="X75" s="4" t="n">
        <v>2</v>
      </c>
      <c r="Y75" s="4" t="n">
        <v>1</v>
      </c>
      <c r="Z75" s="4" t="n">
        <v>0</v>
      </c>
      <c r="AA75" s="4" t="inlineStr">
        <is>
          <t>No</t>
        </is>
      </c>
      <c r="AB75" s="4" t="str">
        <f>IF(H75&lt;=Complexity!$C$11,"Q1 (lowest)",IF(H75&lt;=Complexity!$C$12,"Q2",IF(H75&lt;=Complexity!$C$13,"Q3","Q4 (highest)")))</f>
        <v>Q3</v>
      </c>
      <c r="AC75" s="4" t="str">
        <f>IF(J75&lt;=Churn!$C$11,"Q1 (lowest)",IF(J75&lt;=Churn!$C$12,"Q2",IF(J75&lt;=Churn!$C$13,"Q3","Q4 (highest)")))</f>
        <v>Q2</v>
      </c>
      <c r="AD75" s="4" t="str">
        <f>IF(K75&lt;=40,"&lt;=40%",IF(K75&lt;=60,"40-60%",IF(K75&lt;=80,"60-80%","80%+")))</f>
        <v>&lt;=40%</v>
      </c>
      <c r="AE75" s="4" t="str">
        <f>IF(M75&lt;=2,"1-2",IF(M75&lt;=4,"3-4",IF(M75&lt;=6,"5-6","7+")))</f>
        <v>1-2</v>
      </c>
    </row>
    <row r="76">
      <c r="A76" s="4" t="inlineStr">
        <is>
          <t>auth_session</t>
        </is>
      </c>
      <c r="B76" s="4" t="inlineStr">
        <is>
          <t>Auth</t>
        </is>
      </c>
      <c r="C76" s="4" t="inlineStr">
        <is>
          <t>Python</t>
        </is>
      </c>
      <c r="D76" s="4" t="inlineStr">
        <is>
          <t>v3.0</t>
        </is>
      </c>
      <c r="E76" s="40" t="n">
        <v>45839</v>
      </c>
      <c r="F76" s="4" t="n">
        <v>5</v>
      </c>
      <c r="G76" s="4" t="n">
        <v>3134</v>
      </c>
      <c r="H76" s="18" t="n">
        <v>19.44</v>
      </c>
      <c r="I76" s="18" t="n">
        <v>10.3</v>
      </c>
      <c r="J76" s="29" t="n">
        <v>167.9</v>
      </c>
      <c r="K76" s="29" t="n">
        <v>47.2</v>
      </c>
      <c r="L76" s="4" t="n">
        <v>4</v>
      </c>
      <c r="M76" s="4" t="n">
        <v>3</v>
      </c>
      <c r="N76" s="4" t="n">
        <v>245</v>
      </c>
      <c r="O76" s="4" t="n">
        <v>1</v>
      </c>
      <c r="P76" s="4" t="n">
        <v>0</v>
      </c>
      <c r="Q76" s="4" t="n">
        <v>0</v>
      </c>
      <c r="R76" s="4" t="n">
        <v>0</v>
      </c>
      <c r="S76" s="4">
        <f>SUM(O76:R76)</f>
        <v>1</v>
      </c>
      <c r="T76" s="18">
        <f>J76/L76</f>
        <v>41.975</v>
      </c>
      <c r="U76" s="18">
        <f>S76/G76*1000</f>
        <v>0.319081046585833</v>
      </c>
      <c r="V76" s="4">
        <f>Q76+R76</f>
        <v>0</v>
      </c>
      <c r="W76" s="29">
        <f>100*((J76-MIN($J$2:$J$236))/(MAX($J$2:$J$236)-MIN($J$2:$J$236))+(H76-MIN($H$2:$H$236))/(MAX($H$2:$H$236)-MIN($H$2:$H$236))+(1-(K76-MIN($K$2:$K$236))/(MAX($K$2:$K$236)-MIN($K$2:$K$236))))/3</f>
        <v>45.3580509827898</v>
      </c>
      <c r="X76" s="4" t="n">
        <v>2</v>
      </c>
      <c r="Y76" s="4" t="n">
        <v>1</v>
      </c>
      <c r="Z76" s="4" t="n">
        <v>0</v>
      </c>
      <c r="AA76" s="4" t="inlineStr">
        <is>
          <t>No</t>
        </is>
      </c>
      <c r="AB76" s="4" t="str">
        <f>IF(H76&lt;=Complexity!$C$11,"Q1 (lowest)",IF(H76&lt;=Complexity!$C$12,"Q2",IF(H76&lt;=Complexity!$C$13,"Q3","Q4 (highest)")))</f>
        <v>Q3</v>
      </c>
      <c r="AC76" s="4" t="str">
        <f>IF(J76&lt;=Churn!$C$11,"Q1 (lowest)",IF(J76&lt;=Churn!$C$12,"Q2",IF(J76&lt;=Churn!$C$13,"Q3","Q4 (highest)")))</f>
        <v>Q2</v>
      </c>
      <c r="AD76" s="4" t="str">
        <f>IF(K76&lt;=40,"&lt;=40%",IF(K76&lt;=60,"40-60%",IF(K76&lt;=80,"60-80%","80%+")))</f>
        <v>40-60%</v>
      </c>
      <c r="AE76" s="4" t="str">
        <f>IF(M76&lt;=2,"1-2",IF(M76&lt;=4,"3-4",IF(M76&lt;=6,"5-6","7+")))</f>
        <v>3-4</v>
      </c>
    </row>
    <row r="77">
      <c r="A77" s="4" t="inlineStr">
        <is>
          <t>auth_token</t>
        </is>
      </c>
      <c r="B77" s="4" t="inlineStr">
        <is>
          <t>Auth</t>
        </is>
      </c>
      <c r="C77" s="4" t="inlineStr">
        <is>
          <t>Python</t>
        </is>
      </c>
      <c r="D77" s="4" t="inlineStr">
        <is>
          <t>v1.0</t>
        </is>
      </c>
      <c r="E77" s="40" t="n">
        <v>45306</v>
      </c>
      <c r="F77" s="4" t="n">
        <v>1</v>
      </c>
      <c r="G77" s="4" t="n">
        <v>1652</v>
      </c>
      <c r="H77" s="18" t="n">
        <v>12.59</v>
      </c>
      <c r="I77" s="18" t="n">
        <v>10.36</v>
      </c>
      <c r="J77" s="29" t="n">
        <v>373.2000000000001</v>
      </c>
      <c r="K77" s="29" t="n">
        <v>48.4</v>
      </c>
      <c r="L77" s="4" t="n">
        <v>8</v>
      </c>
      <c r="M77" s="4" t="n">
        <v>4</v>
      </c>
      <c r="N77" s="4" t="n">
        <v>552</v>
      </c>
      <c r="O77" s="4" t="n">
        <v>0</v>
      </c>
      <c r="P77" s="4" t="n">
        <v>0</v>
      </c>
      <c r="Q77" s="4" t="n">
        <v>2</v>
      </c>
      <c r="R77" s="4" t="n">
        <v>0</v>
      </c>
      <c r="S77" s="4">
        <f>SUM(O77:R77)</f>
        <v>2</v>
      </c>
      <c r="T77" s="18">
        <f>J77/L77</f>
        <v>46.65</v>
      </c>
      <c r="U77" s="18">
        <f>S77/G77*1000</f>
        <v>1.21065375302663</v>
      </c>
      <c r="V77" s="4">
        <f>Q77+R77</f>
        <v>2</v>
      </c>
      <c r="W77" s="29">
        <f>100*((J77-MIN($J$2:$J$236))/(MAX($J$2:$J$236)-MIN($J$2:$J$236))+(H77-MIN($H$2:$H$236))/(MAX($H$2:$H$236)-MIN($H$2:$H$236))+(1-(K77-MIN($K$2:$K$236))/(MAX($K$2:$K$236)-MIN($K$2:$K$236))))/3</f>
        <v>43.1682231459805</v>
      </c>
      <c r="X77" s="4" t="n">
        <v>0</v>
      </c>
      <c r="Y77" s="4" t="n">
        <v>0</v>
      </c>
      <c r="Z77" s="4" t="n">
        <v>0</v>
      </c>
      <c r="AA77" s="4" t="inlineStr">
        <is>
          <t>No</t>
        </is>
      </c>
      <c r="AB77" s="4" t="str">
        <f>IF(H77&lt;=Complexity!$C$11,"Q1 (lowest)",IF(H77&lt;=Complexity!$C$12,"Q2",IF(H77&lt;=Complexity!$C$13,"Q3","Q4 (highest)")))</f>
        <v>Q2</v>
      </c>
      <c r="AC77" s="4" t="str">
        <f>IF(J77&lt;=Churn!$C$11,"Q1 (lowest)",IF(J77&lt;=Churn!$C$12,"Q2",IF(J77&lt;=Churn!$C$13,"Q3","Q4 (highest)")))</f>
        <v>Q3</v>
      </c>
      <c r="AD77" s="4" t="str">
        <f>IF(K77&lt;=40,"&lt;=40%",IF(K77&lt;=60,"40-60%",IF(K77&lt;=80,"60-80%","80%+")))</f>
        <v>40-60%</v>
      </c>
      <c r="AE77" s="4" t="str">
        <f>IF(M77&lt;=2,"1-2",IF(M77&lt;=4,"3-4",IF(M77&lt;=6,"5-6","7+")))</f>
        <v>3-4</v>
      </c>
    </row>
    <row r="78">
      <c r="A78" s="4" t="inlineStr">
        <is>
          <t>auth_token</t>
        </is>
      </c>
      <c r="B78" s="4" t="inlineStr">
        <is>
          <t>Auth</t>
        </is>
      </c>
      <c r="C78" s="4" t="inlineStr">
        <is>
          <t>Python</t>
        </is>
      </c>
      <c r="D78" s="4" t="inlineStr">
        <is>
          <t>v1.1</t>
        </is>
      </c>
      <c r="E78" s="40" t="n">
        <v>45432</v>
      </c>
      <c r="F78" s="4" t="n">
        <v>2</v>
      </c>
      <c r="G78" s="4" t="n">
        <v>1652</v>
      </c>
      <c r="H78" s="18" t="n">
        <v>15.05</v>
      </c>
      <c r="I78" s="18" t="n">
        <v>10.57</v>
      </c>
      <c r="J78" s="29" t="n">
        <v>218</v>
      </c>
      <c r="K78" s="29" t="n">
        <v>67.7</v>
      </c>
      <c r="L78" s="4" t="n">
        <v>7</v>
      </c>
      <c r="M78" s="4" t="n">
        <v>3</v>
      </c>
      <c r="N78" s="4" t="n">
        <v>337</v>
      </c>
      <c r="O78" s="4" t="n">
        <v>0</v>
      </c>
      <c r="P78" s="4" t="n">
        <v>0</v>
      </c>
      <c r="Q78" s="4" t="n">
        <v>0</v>
      </c>
      <c r="R78" s="4" t="n">
        <v>0</v>
      </c>
      <c r="S78" s="4">
        <f>SUM(O78:R78)</f>
        <v>0</v>
      </c>
      <c r="T78" s="18">
        <f>J78/L78</f>
        <v>31.1428571428571</v>
      </c>
      <c r="U78" s="18">
        <f>S78/G78*1000</f>
        <v>0</v>
      </c>
      <c r="V78" s="4">
        <f>Q78+R78</f>
        <v>0</v>
      </c>
      <c r="W78" s="29">
        <f>100*((J78-MIN($J$2:$J$236))/(MAX($J$2:$J$236)-MIN($J$2:$J$236))+(H78-MIN($H$2:$H$236))/(MAX($H$2:$H$236)-MIN($H$2:$H$236))+(1-(K78-MIN($K$2:$K$236))/(MAX($K$2:$K$236)-MIN($K$2:$K$236))))/3</f>
        <v>32.7235226942455</v>
      </c>
      <c r="X78" s="4" t="n">
        <v>2</v>
      </c>
      <c r="Y78" s="4" t="n">
        <v>0</v>
      </c>
      <c r="Z78" s="4" t="n">
        <v>0</v>
      </c>
      <c r="AA78" s="4" t="inlineStr">
        <is>
          <t>No</t>
        </is>
      </c>
      <c r="AB78" s="4" t="str">
        <f>IF(H78&lt;=Complexity!$C$11,"Q1 (lowest)",IF(H78&lt;=Complexity!$C$12,"Q2",IF(H78&lt;=Complexity!$C$13,"Q3","Q4 (highest)")))</f>
        <v>Q3</v>
      </c>
      <c r="AC78" s="4" t="str">
        <f>IF(J78&lt;=Churn!$C$11,"Q1 (lowest)",IF(J78&lt;=Churn!$C$12,"Q2",IF(J78&lt;=Churn!$C$13,"Q3","Q4 (highest)")))</f>
        <v>Q2</v>
      </c>
      <c r="AD78" s="4" t="str">
        <f>IF(K78&lt;=40,"&lt;=40%",IF(K78&lt;=60,"40-60%",IF(K78&lt;=80,"60-80%","80%+")))</f>
        <v>60-80%</v>
      </c>
      <c r="AE78" s="4" t="str">
        <f>IF(M78&lt;=2,"1-2",IF(M78&lt;=4,"3-4",IF(M78&lt;=6,"5-6","7+")))</f>
        <v>3-4</v>
      </c>
    </row>
    <row r="79">
      <c r="A79" s="4" t="inlineStr">
        <is>
          <t>auth_token</t>
        </is>
      </c>
      <c r="B79" s="4" t="inlineStr">
        <is>
          <t>Auth</t>
        </is>
      </c>
      <c r="C79" s="4" t="inlineStr">
        <is>
          <t>Python</t>
        </is>
      </c>
      <c r="D79" s="4" t="inlineStr">
        <is>
          <t>v2.0</t>
        </is>
      </c>
      <c r="E79" s="40" t="n">
        <v>45545</v>
      </c>
      <c r="F79" s="4" t="n">
        <v>3</v>
      </c>
      <c r="G79" s="4" t="n">
        <v>1652</v>
      </c>
      <c r="H79" s="18" t="n">
        <v>14.81</v>
      </c>
      <c r="I79" s="18" t="n">
        <v>7.15</v>
      </c>
      <c r="J79" s="29" t="n">
        <v>322.3</v>
      </c>
      <c r="K79" s="29" t="n">
        <v>49.6</v>
      </c>
      <c r="L79" s="4" t="n">
        <v>12</v>
      </c>
      <c r="M79" s="4" t="n">
        <v>3</v>
      </c>
      <c r="N79" s="4" t="n">
        <v>440</v>
      </c>
      <c r="O79" s="4" t="n">
        <v>1</v>
      </c>
      <c r="P79" s="4" t="n">
        <v>0</v>
      </c>
      <c r="Q79" s="4" t="n">
        <v>0</v>
      </c>
      <c r="R79" s="4" t="n">
        <v>0</v>
      </c>
      <c r="S79" s="4">
        <f>SUM(O79:R79)</f>
        <v>1</v>
      </c>
      <c r="T79" s="18">
        <f>J79/L79</f>
        <v>26.8583333333333</v>
      </c>
      <c r="U79" s="18">
        <f>S79/G79*1000</f>
        <v>0.605326876513317</v>
      </c>
      <c r="V79" s="4">
        <f>Q79+R79</f>
        <v>0</v>
      </c>
      <c r="W79" s="29">
        <f>100*((J79-MIN($J$2:$J$236))/(MAX($J$2:$J$236)-MIN($J$2:$J$236))+(H79-MIN($H$2:$H$236))/(MAX($H$2:$H$236)-MIN($H$2:$H$236))+(1-(K79-MIN($K$2:$K$236))/(MAX($K$2:$K$236)-MIN($K$2:$K$236))))/3</f>
        <v>43.5820860174505</v>
      </c>
      <c r="X79" s="4" t="n">
        <v>0</v>
      </c>
      <c r="Y79" s="4" t="n">
        <v>0</v>
      </c>
      <c r="Z79" s="4" t="n">
        <v>0</v>
      </c>
      <c r="AA79" s="4" t="inlineStr">
        <is>
          <t>No</t>
        </is>
      </c>
      <c r="AB79" s="4" t="str">
        <f>IF(H79&lt;=Complexity!$C$11,"Q1 (lowest)",IF(H79&lt;=Complexity!$C$12,"Q2",IF(H79&lt;=Complexity!$C$13,"Q3","Q4 (highest)")))</f>
        <v>Q2</v>
      </c>
      <c r="AC79" s="4" t="str">
        <f>IF(J79&lt;=Churn!$C$11,"Q1 (lowest)",IF(J79&lt;=Churn!$C$12,"Q2",IF(J79&lt;=Churn!$C$13,"Q3","Q4 (highest)")))</f>
        <v>Q3</v>
      </c>
      <c r="AD79" s="4" t="str">
        <f>IF(K79&lt;=40,"&lt;=40%",IF(K79&lt;=60,"40-60%",IF(K79&lt;=80,"60-80%","80%+")))</f>
        <v>40-60%</v>
      </c>
      <c r="AE79" s="4" t="str">
        <f>IF(M79&lt;=2,"1-2",IF(M79&lt;=4,"3-4",IF(M79&lt;=6,"5-6","7+")))</f>
        <v>3-4</v>
      </c>
    </row>
    <row r="80">
      <c r="A80" s="4" t="inlineStr">
        <is>
          <t>auth_token</t>
        </is>
      </c>
      <c r="B80" s="4" t="inlineStr">
        <is>
          <t>Auth</t>
        </is>
      </c>
      <c r="C80" s="4" t="inlineStr">
        <is>
          <t>Python</t>
        </is>
      </c>
      <c r="D80" s="4" t="inlineStr">
        <is>
          <t>v2.1</t>
        </is>
      </c>
      <c r="E80" s="40" t="n">
        <v>45706</v>
      </c>
      <c r="F80" s="4" t="n">
        <v>4</v>
      </c>
      <c r="G80" s="4" t="n">
        <v>1652</v>
      </c>
      <c r="H80" s="18" t="n">
        <v>19.83</v>
      </c>
      <c r="I80" s="18" t="n">
        <v>14.09</v>
      </c>
      <c r="J80" s="29" t="n">
        <v>701.7</v>
      </c>
      <c r="K80" s="29" t="n">
        <v>61.5</v>
      </c>
      <c r="L80" s="4" t="n">
        <v>19</v>
      </c>
      <c r="M80" s="4" t="n">
        <v>5</v>
      </c>
      <c r="N80" s="4" t="n">
        <v>1167</v>
      </c>
      <c r="O80" s="4" t="n">
        <v>1</v>
      </c>
      <c r="P80" s="4" t="n">
        <v>1</v>
      </c>
      <c r="Q80" s="4" t="n">
        <v>0</v>
      </c>
      <c r="R80" s="4" t="n">
        <v>0</v>
      </c>
      <c r="S80" s="4">
        <f>SUM(O80:R80)</f>
        <v>2</v>
      </c>
      <c r="T80" s="18">
        <f>J80/L80</f>
        <v>36.9315789473684</v>
      </c>
      <c r="U80" s="18">
        <f>S80/G80*1000</f>
        <v>1.21065375302663</v>
      </c>
      <c r="V80" s="4">
        <f>Q80+R80</f>
        <v>0</v>
      </c>
      <c r="W80" s="29">
        <f>100*((J80-MIN($J$2:$J$236))/(MAX($J$2:$J$236)-MIN($J$2:$J$236))+(H80-MIN($H$2:$H$236))/(MAX($H$2:$H$236)-MIN($H$2:$H$236))+(1-(K80-MIN($K$2:$K$236))/(MAX($K$2:$K$236)-MIN($K$2:$K$236))))/3</f>
        <v>53.8876022521348</v>
      </c>
      <c r="X80" s="4" t="n">
        <v>1</v>
      </c>
      <c r="Y80" s="4" t="n">
        <v>0</v>
      </c>
      <c r="Z80" s="4" t="n">
        <v>0</v>
      </c>
      <c r="AA80" s="4" t="inlineStr">
        <is>
          <t>No</t>
        </is>
      </c>
      <c r="AB80" s="4" t="str">
        <f>IF(H80&lt;=Complexity!$C$11,"Q1 (lowest)",IF(H80&lt;=Complexity!$C$12,"Q2",IF(H80&lt;=Complexity!$C$13,"Q3","Q4 (highest)")))</f>
        <v>Q4 (highest)</v>
      </c>
      <c r="AC80" s="4" t="str">
        <f>IF(J80&lt;=Churn!$C$11,"Q1 (lowest)",IF(J80&lt;=Churn!$C$12,"Q2",IF(J80&lt;=Churn!$C$13,"Q3","Q4 (highest)")))</f>
        <v>Q4 (highest)</v>
      </c>
      <c r="AD80" s="4" t="str">
        <f>IF(K80&lt;=40,"&lt;=40%",IF(K80&lt;=60,"40-60%",IF(K80&lt;=80,"60-80%","80%+")))</f>
        <v>60-80%</v>
      </c>
      <c r="AE80" s="4" t="str">
        <f>IF(M80&lt;=2,"1-2",IF(M80&lt;=4,"3-4",IF(M80&lt;=6,"5-6","7+")))</f>
        <v>5-6</v>
      </c>
    </row>
    <row r="81">
      <c r="A81" s="4" t="inlineStr">
        <is>
          <t>auth_token</t>
        </is>
      </c>
      <c r="B81" s="4" t="inlineStr">
        <is>
          <t>Auth</t>
        </is>
      </c>
      <c r="C81" s="4" t="inlineStr">
        <is>
          <t>Python</t>
        </is>
      </c>
      <c r="D81" s="4" t="inlineStr">
        <is>
          <t>v3.0</t>
        </is>
      </c>
      <c r="E81" s="40" t="n">
        <v>45839</v>
      </c>
      <c r="F81" s="4" t="n">
        <v>5</v>
      </c>
      <c r="G81" s="4" t="n">
        <v>1652</v>
      </c>
      <c r="H81" s="18" t="n">
        <v>18.9</v>
      </c>
      <c r="I81" s="18" t="n">
        <v>10.15</v>
      </c>
      <c r="J81" s="29" t="n">
        <v>424.1</v>
      </c>
      <c r="K81" s="29" t="n">
        <v>59.3</v>
      </c>
      <c r="L81" s="4" t="n">
        <v>13</v>
      </c>
      <c r="M81" s="4" t="n">
        <v>3</v>
      </c>
      <c r="N81" s="4" t="n">
        <v>681</v>
      </c>
      <c r="O81" s="4" t="n">
        <v>0</v>
      </c>
      <c r="P81" s="4" t="n">
        <v>0</v>
      </c>
      <c r="Q81" s="4" t="n">
        <v>0</v>
      </c>
      <c r="R81" s="4" t="n">
        <v>0</v>
      </c>
      <c r="S81" s="4">
        <f>SUM(O81:R81)</f>
        <v>0</v>
      </c>
      <c r="T81" s="18">
        <f>J81/L81</f>
        <v>32.6230769230769</v>
      </c>
      <c r="U81" s="18">
        <f>S81/G81*1000</f>
        <v>0</v>
      </c>
      <c r="V81" s="4">
        <f>Q81+R81</f>
        <v>0</v>
      </c>
      <c r="W81" s="29">
        <f>100*((J81-MIN($J$2:$J$236))/(MAX($J$2:$J$236)-MIN($J$2:$J$236))+(H81-MIN($H$2:$H$236))/(MAX($H$2:$H$236)-MIN($H$2:$H$236))+(1-(K81-MIN($K$2:$K$236))/(MAX($K$2:$K$236)-MIN($K$2:$K$236))))/3</f>
        <v>46.2920061134712</v>
      </c>
      <c r="X81" s="4" t="n">
        <v>2</v>
      </c>
      <c r="Y81" s="4" t="n">
        <v>0</v>
      </c>
      <c r="Z81" s="4" t="n">
        <v>0</v>
      </c>
      <c r="AA81" s="4" t="inlineStr">
        <is>
          <t>No</t>
        </is>
      </c>
      <c r="AB81" s="4" t="str">
        <f>IF(H81&lt;=Complexity!$C$11,"Q1 (lowest)",IF(H81&lt;=Complexity!$C$12,"Q2",IF(H81&lt;=Complexity!$C$13,"Q3","Q4 (highest)")))</f>
        <v>Q3</v>
      </c>
      <c r="AC81" s="4" t="str">
        <f>IF(J81&lt;=Churn!$C$11,"Q1 (lowest)",IF(J81&lt;=Churn!$C$12,"Q2",IF(J81&lt;=Churn!$C$13,"Q3","Q4 (highest)")))</f>
        <v>Q4 (highest)</v>
      </c>
      <c r="AD81" s="4" t="str">
        <f>IF(K81&lt;=40,"&lt;=40%",IF(K81&lt;=60,"40-60%",IF(K81&lt;=80,"60-80%","80%+")))</f>
        <v>40-60%</v>
      </c>
      <c r="AE81" s="4" t="str">
        <f>IF(M81&lt;=2,"1-2",IF(M81&lt;=4,"3-4",IF(M81&lt;=6,"5-6","7+")))</f>
        <v>3-4</v>
      </c>
    </row>
    <row r="82">
      <c r="A82" s="4" t="inlineStr">
        <is>
          <t>database_backup</t>
        </is>
      </c>
      <c r="B82" s="4" t="inlineStr">
        <is>
          <t>Database</t>
        </is>
      </c>
      <c r="C82" s="4" t="inlineStr">
        <is>
          <t>C++</t>
        </is>
      </c>
      <c r="D82" s="4" t="inlineStr">
        <is>
          <t>v1.0</t>
        </is>
      </c>
      <c r="E82" s="40" t="n">
        <v>45306</v>
      </c>
      <c r="F82" s="4" t="n">
        <v>1</v>
      </c>
      <c r="G82" s="4" t="n">
        <v>1207</v>
      </c>
      <c r="H82" s="18" t="n">
        <v>15.14</v>
      </c>
      <c r="I82" s="18" t="n">
        <v>11.48</v>
      </c>
      <c r="J82" s="29" t="n">
        <v>224.4</v>
      </c>
      <c r="K82" s="29" t="n">
        <v>47.9</v>
      </c>
      <c r="L82" s="4" t="n">
        <v>6</v>
      </c>
      <c r="M82" s="4" t="n">
        <v>2</v>
      </c>
      <c r="N82" s="4" t="n">
        <v>289</v>
      </c>
      <c r="O82" s="4" t="n">
        <v>0</v>
      </c>
      <c r="P82" s="4" t="n">
        <v>0</v>
      </c>
      <c r="Q82" s="4" t="n">
        <v>0</v>
      </c>
      <c r="R82" s="4" t="n">
        <v>0</v>
      </c>
      <c r="S82" s="4">
        <f>SUM(O82:R82)</f>
        <v>0</v>
      </c>
      <c r="T82" s="18">
        <f>J82/L82</f>
        <v>37.4</v>
      </c>
      <c r="U82" s="18">
        <f>S82/G82*1000</f>
        <v>0</v>
      </c>
      <c r="V82" s="4">
        <f>Q82+R82</f>
        <v>0</v>
      </c>
      <c r="W82" s="29">
        <f>100*((J82-MIN($J$2:$J$236))/(MAX($J$2:$J$236)-MIN($J$2:$J$236))+(H82-MIN($H$2:$H$236))/(MAX($H$2:$H$236)-MIN($H$2:$H$236))+(1-(K82-MIN($K$2:$K$236))/(MAX($K$2:$K$236)-MIN($K$2:$K$236))))/3</f>
        <v>42.0232737554179</v>
      </c>
      <c r="X82" s="4" t="n">
        <v>0</v>
      </c>
      <c r="Y82" s="4" t="n">
        <v>0</v>
      </c>
      <c r="Z82" s="4" t="n">
        <v>0</v>
      </c>
      <c r="AA82" s="4" t="inlineStr">
        <is>
          <t>No</t>
        </is>
      </c>
      <c r="AB82" s="4" t="str">
        <f>IF(H82&lt;=Complexity!$C$11,"Q1 (lowest)",IF(H82&lt;=Complexity!$C$12,"Q2",IF(H82&lt;=Complexity!$C$13,"Q3","Q4 (highest)")))</f>
        <v>Q3</v>
      </c>
      <c r="AC82" s="4" t="str">
        <f>IF(J82&lt;=Churn!$C$11,"Q1 (lowest)",IF(J82&lt;=Churn!$C$12,"Q2",IF(J82&lt;=Churn!$C$13,"Q3","Q4 (highest)")))</f>
        <v>Q2</v>
      </c>
      <c r="AD82" s="4" t="str">
        <f>IF(K82&lt;=40,"&lt;=40%",IF(K82&lt;=60,"40-60%",IF(K82&lt;=80,"60-80%","80%+")))</f>
        <v>40-60%</v>
      </c>
      <c r="AE82" s="4" t="str">
        <f>IF(M82&lt;=2,"1-2",IF(M82&lt;=4,"3-4",IF(M82&lt;=6,"5-6","7+")))</f>
        <v>1-2</v>
      </c>
    </row>
    <row r="83">
      <c r="A83" s="4" t="inlineStr">
        <is>
          <t>database_backup</t>
        </is>
      </c>
      <c r="B83" s="4" t="inlineStr">
        <is>
          <t>Database</t>
        </is>
      </c>
      <c r="C83" s="4" t="inlineStr">
        <is>
          <t>C++</t>
        </is>
      </c>
      <c r="D83" s="4" t="inlineStr">
        <is>
          <t>v1.1</t>
        </is>
      </c>
      <c r="E83" s="40" t="n">
        <v>45432</v>
      </c>
      <c r="F83" s="4" t="n">
        <v>2</v>
      </c>
      <c r="G83" s="4" t="n">
        <v>1207</v>
      </c>
      <c r="H83" s="18" t="n">
        <v>12.81</v>
      </c>
      <c r="I83" s="18" t="n">
        <v>11.56</v>
      </c>
      <c r="J83" s="29" t="n">
        <v>42.7</v>
      </c>
      <c r="K83" s="29" t="n">
        <v>61.8</v>
      </c>
      <c r="L83" s="4" t="n">
        <v>1</v>
      </c>
      <c r="M83" s="4" t="n">
        <v>1</v>
      </c>
      <c r="N83" s="4" t="n">
        <v>66</v>
      </c>
      <c r="O83" s="4" t="n">
        <v>1</v>
      </c>
      <c r="P83" s="4" t="n">
        <v>0</v>
      </c>
      <c r="Q83" s="4" t="n">
        <v>0</v>
      </c>
      <c r="R83" s="4" t="n">
        <v>1</v>
      </c>
      <c r="S83" s="4">
        <f>SUM(O83:R83)</f>
        <v>2</v>
      </c>
      <c r="T83" s="18">
        <f>J83/L83</f>
        <v>42.7</v>
      </c>
      <c r="U83" s="18">
        <f>S83/G83*1000</f>
        <v>1.65700082850041</v>
      </c>
      <c r="V83" s="4">
        <f>Q83+R83</f>
        <v>1</v>
      </c>
      <c r="W83" s="29">
        <f>100*((J83-MIN($J$2:$J$236))/(MAX($J$2:$J$236)-MIN($J$2:$J$236))+(H83-MIN($H$2:$H$236))/(MAX($H$2:$H$236)-MIN($H$2:$H$236))+(1-(K83-MIN($K$2:$K$236))/(MAX($K$2:$K$236)-MIN($K$2:$K$236))))/3</f>
        <v>28.2294232149949</v>
      </c>
      <c r="X83" s="4" t="n">
        <v>0</v>
      </c>
      <c r="Y83" s="4" t="n">
        <v>0</v>
      </c>
      <c r="Z83" s="4" t="n">
        <v>0</v>
      </c>
      <c r="AA83" s="4" t="inlineStr">
        <is>
          <t>No</t>
        </is>
      </c>
      <c r="AB83" s="4" t="str">
        <f>IF(H83&lt;=Complexity!$C$11,"Q1 (lowest)",IF(H83&lt;=Complexity!$C$12,"Q2",IF(H83&lt;=Complexity!$C$13,"Q3","Q4 (highest)")))</f>
        <v>Q2</v>
      </c>
      <c r="AC83" s="4" t="str">
        <f>IF(J83&lt;=Churn!$C$11,"Q1 (lowest)",IF(J83&lt;=Churn!$C$12,"Q2",IF(J83&lt;=Churn!$C$13,"Q3","Q4 (highest)")))</f>
        <v>Q1 (lowest)</v>
      </c>
      <c r="AD83" s="4" t="str">
        <f>IF(K83&lt;=40,"&lt;=40%",IF(K83&lt;=60,"40-60%",IF(K83&lt;=80,"60-80%","80%+")))</f>
        <v>60-80%</v>
      </c>
      <c r="AE83" s="4" t="str">
        <f>IF(M83&lt;=2,"1-2",IF(M83&lt;=4,"3-4",IF(M83&lt;=6,"5-6","7+")))</f>
        <v>1-2</v>
      </c>
    </row>
    <row r="84">
      <c r="A84" s="4" t="inlineStr">
        <is>
          <t>database_backup</t>
        </is>
      </c>
      <c r="B84" s="4" t="inlineStr">
        <is>
          <t>Database</t>
        </is>
      </c>
      <c r="C84" s="4" t="inlineStr">
        <is>
          <t>C++</t>
        </is>
      </c>
      <c r="D84" s="4" t="inlineStr">
        <is>
          <t>v2.0</t>
        </is>
      </c>
      <c r="E84" s="40" t="n">
        <v>45545</v>
      </c>
      <c r="F84" s="4" t="n">
        <v>3</v>
      </c>
      <c r="G84" s="4" t="n">
        <v>1207</v>
      </c>
      <c r="H84" s="18" t="n">
        <v>10.47</v>
      </c>
      <c r="I84" s="18" t="n">
        <v>8.33</v>
      </c>
      <c r="J84" s="29" t="n">
        <v>192</v>
      </c>
      <c r="K84" s="29" t="n">
        <v>67.7</v>
      </c>
      <c r="L84" s="4" t="n">
        <v>10</v>
      </c>
      <c r="M84" s="4" t="n">
        <v>3</v>
      </c>
      <c r="N84" s="4" t="n">
        <v>277</v>
      </c>
      <c r="O84" s="4" t="n">
        <v>0</v>
      </c>
      <c r="P84" s="4" t="n">
        <v>0</v>
      </c>
      <c r="Q84" s="4" t="n">
        <v>0</v>
      </c>
      <c r="R84" s="4" t="n">
        <v>0</v>
      </c>
      <c r="S84" s="4">
        <f>SUM(O84:R84)</f>
        <v>0</v>
      </c>
      <c r="T84" s="18">
        <f>J84/L84</f>
        <v>19.2</v>
      </c>
      <c r="U84" s="18">
        <f>S84/G84*1000</f>
        <v>0</v>
      </c>
      <c r="V84" s="4">
        <f>Q84+R84</f>
        <v>0</v>
      </c>
      <c r="W84" s="29">
        <f>100*((J84-MIN($J$2:$J$236))/(MAX($J$2:$J$236)-MIN($J$2:$J$236))+(H84-MIN($H$2:$H$236))/(MAX($H$2:$H$236)-MIN($H$2:$H$236))+(1-(K84-MIN($K$2:$K$236))/(MAX($K$2:$K$236)-MIN($K$2:$K$236))))/3</f>
        <v>27.1486317635401</v>
      </c>
      <c r="X84" s="4" t="n">
        <v>2</v>
      </c>
      <c r="Y84" s="4" t="n">
        <v>0</v>
      </c>
      <c r="Z84" s="4" t="n">
        <v>0</v>
      </c>
      <c r="AA84" s="4" t="inlineStr">
        <is>
          <t>No</t>
        </is>
      </c>
      <c r="AB84" s="4" t="str">
        <f>IF(H84&lt;=Complexity!$C$11,"Q1 (lowest)",IF(H84&lt;=Complexity!$C$12,"Q2",IF(H84&lt;=Complexity!$C$13,"Q3","Q4 (highest)")))</f>
        <v>Q2</v>
      </c>
      <c r="AC84" s="4" t="str">
        <f>IF(J84&lt;=Churn!$C$11,"Q1 (lowest)",IF(J84&lt;=Churn!$C$12,"Q2",IF(J84&lt;=Churn!$C$13,"Q3","Q4 (highest)")))</f>
        <v>Q2</v>
      </c>
      <c r="AD84" s="4" t="str">
        <f>IF(K84&lt;=40,"&lt;=40%",IF(K84&lt;=60,"40-60%",IF(K84&lt;=80,"60-80%","80%+")))</f>
        <v>60-80%</v>
      </c>
      <c r="AE84" s="4" t="str">
        <f>IF(M84&lt;=2,"1-2",IF(M84&lt;=4,"3-4",IF(M84&lt;=6,"5-6","7+")))</f>
        <v>3-4</v>
      </c>
    </row>
    <row r="85">
      <c r="A85" s="4" t="inlineStr">
        <is>
          <t>database_backup</t>
        </is>
      </c>
      <c r="B85" s="4" t="inlineStr">
        <is>
          <t>Database</t>
        </is>
      </c>
      <c r="C85" s="4" t="inlineStr">
        <is>
          <t>C++</t>
        </is>
      </c>
      <c r="D85" s="4" t="inlineStr">
        <is>
          <t>v2.1</t>
        </is>
      </c>
      <c r="E85" s="40" t="n">
        <v>45706</v>
      </c>
      <c r="F85" s="4" t="n">
        <v>4</v>
      </c>
      <c r="G85" s="4" t="n">
        <v>1207</v>
      </c>
      <c r="H85" s="18" t="n">
        <v>12.345</v>
      </c>
      <c r="I85" s="18" t="n">
        <v>11.41</v>
      </c>
      <c r="J85" s="29" t="n">
        <v>103.8</v>
      </c>
      <c r="K85" s="29" t="n">
        <v>54.7</v>
      </c>
      <c r="L85" s="4" t="n">
        <v>2</v>
      </c>
      <c r="M85" s="4" t="n">
        <v>2</v>
      </c>
      <c r="N85" s="4" t="n">
        <v>186</v>
      </c>
      <c r="O85" s="4" t="n">
        <v>0</v>
      </c>
      <c r="P85" s="4" t="n">
        <v>0</v>
      </c>
      <c r="Q85" s="4" t="n">
        <v>2</v>
      </c>
      <c r="R85" s="4" t="n">
        <v>0</v>
      </c>
      <c r="S85" s="4">
        <f>SUM(O85:R85)</f>
        <v>2</v>
      </c>
      <c r="T85" s="18">
        <f>J85/L85</f>
        <v>51.9</v>
      </c>
      <c r="U85" s="18">
        <f>S85/G85*1000</f>
        <v>1.65700082850041</v>
      </c>
      <c r="V85" s="4">
        <f>Q85+R85</f>
        <v>2</v>
      </c>
      <c r="W85" s="29">
        <f>100*((J85-MIN($J$2:$J$236))/(MAX($J$2:$J$236)-MIN($J$2:$J$236))+(H85-MIN($H$2:$H$236))/(MAX($H$2:$H$236)-MIN($H$2:$H$236))+(1-(K85-MIN($K$2:$K$236))/(MAX($K$2:$K$236)-MIN($K$2:$K$236))))/3</f>
        <v>32.6486704070801</v>
      </c>
      <c r="X85" s="4" t="n">
        <v>0</v>
      </c>
      <c r="Y85" s="4" t="n">
        <v>0</v>
      </c>
      <c r="Z85" s="4" t="n">
        <v>0</v>
      </c>
      <c r="AA85" s="4" t="inlineStr">
        <is>
          <t>No</t>
        </is>
      </c>
      <c r="AB85" s="4" t="str">
        <f>IF(H85&lt;=Complexity!$C$11,"Q1 (lowest)",IF(H85&lt;=Complexity!$C$12,"Q2",IF(H85&lt;=Complexity!$C$13,"Q3","Q4 (highest)")))</f>
        <v>Q2</v>
      </c>
      <c r="AC85" s="4" t="str">
        <f>IF(J85&lt;=Churn!$C$11,"Q1 (lowest)",IF(J85&lt;=Churn!$C$12,"Q2",IF(J85&lt;=Churn!$C$13,"Q3","Q4 (highest)")))</f>
        <v>Q1 (lowest)</v>
      </c>
      <c r="AD85" s="4" t="str">
        <f>IF(K85&lt;=40,"&lt;=40%",IF(K85&lt;=60,"40-60%",IF(K85&lt;=80,"60-80%","80%+")))</f>
        <v>40-60%</v>
      </c>
      <c r="AE85" s="4" t="str">
        <f>IF(M85&lt;=2,"1-2",IF(M85&lt;=4,"3-4",IF(M85&lt;=6,"5-6","7+")))</f>
        <v>1-2</v>
      </c>
    </row>
    <row r="86">
      <c r="A86" s="4" t="inlineStr">
        <is>
          <t>database_backup</t>
        </is>
      </c>
      <c r="B86" s="4" t="inlineStr">
        <is>
          <t>Database</t>
        </is>
      </c>
      <c r="C86" s="4" t="inlineStr">
        <is>
          <t>C++</t>
        </is>
      </c>
      <c r="D86" s="4" t="inlineStr">
        <is>
          <t>v3.0</t>
        </is>
      </c>
      <c r="E86" s="40" t="n">
        <v>45839</v>
      </c>
      <c r="F86" s="4" t="n">
        <v>5</v>
      </c>
      <c r="G86" s="4" t="n">
        <v>1207</v>
      </c>
      <c r="H86" s="18" t="n">
        <v>11.88</v>
      </c>
      <c r="I86" s="18" t="n">
        <v>9.140000000000001</v>
      </c>
      <c r="J86" s="29" t="n">
        <v>583</v>
      </c>
      <c r="K86" s="29" t="n">
        <v>49.8</v>
      </c>
      <c r="L86" s="4" t="n">
        <v>19</v>
      </c>
      <c r="M86" s="4" t="n">
        <v>4</v>
      </c>
      <c r="N86" s="4" t="n">
        <v>710</v>
      </c>
      <c r="O86" s="4" t="n">
        <v>0</v>
      </c>
      <c r="P86" s="4" t="n">
        <v>0</v>
      </c>
      <c r="Q86" s="4" t="n">
        <v>0</v>
      </c>
      <c r="R86" s="4" t="n">
        <v>0</v>
      </c>
      <c r="S86" s="4">
        <f>SUM(O86:R86)</f>
        <v>0</v>
      </c>
      <c r="T86" s="18">
        <f>J86/L86</f>
        <v>30.6842105263158</v>
      </c>
      <c r="U86" s="18">
        <f>S86/G86*1000</f>
        <v>0</v>
      </c>
      <c r="V86" s="4">
        <f>Q86+R86</f>
        <v>0</v>
      </c>
      <c r="W86" s="29">
        <f>100*((J86-MIN($J$2:$J$236))/(MAX($J$2:$J$236)-MIN($J$2:$J$236))+(H86-MIN($H$2:$H$236))/(MAX($H$2:$H$236)-MIN($H$2:$H$236))+(1-(K86-MIN($K$2:$K$236))/(MAX($K$2:$K$236)-MIN($K$2:$K$236))))/3</f>
        <v>47.5286284516046</v>
      </c>
      <c r="X86" s="4" t="n">
        <v>2</v>
      </c>
      <c r="Y86" s="4" t="n">
        <v>0</v>
      </c>
      <c r="Z86" s="4" t="n">
        <v>0</v>
      </c>
      <c r="AA86" s="4" t="inlineStr">
        <is>
          <t>No</t>
        </is>
      </c>
      <c r="AB86" s="4" t="str">
        <f>IF(H86&lt;=Complexity!$C$11,"Q1 (lowest)",IF(H86&lt;=Complexity!$C$12,"Q2",IF(H86&lt;=Complexity!$C$13,"Q3","Q4 (highest)")))</f>
        <v>Q2</v>
      </c>
      <c r="AC86" s="4" t="str">
        <f>IF(J86&lt;=Churn!$C$11,"Q1 (lowest)",IF(J86&lt;=Churn!$C$12,"Q2",IF(J86&lt;=Churn!$C$13,"Q3","Q4 (highest)")))</f>
        <v>Q4 (highest)</v>
      </c>
      <c r="AD86" s="4" t="str">
        <f>IF(K86&lt;=40,"&lt;=40%",IF(K86&lt;=60,"40-60%",IF(K86&lt;=80,"60-80%","80%+")))</f>
        <v>40-60%</v>
      </c>
      <c r="AE86" s="4" t="str">
        <f>IF(M86&lt;=2,"1-2",IF(M86&lt;=4,"3-4",IF(M86&lt;=6,"5-6","7+")))</f>
        <v>3-4</v>
      </c>
    </row>
    <row r="87">
      <c r="A87" s="4" t="inlineStr">
        <is>
          <t>database_cache</t>
        </is>
      </c>
      <c r="B87" s="4" t="inlineStr">
        <is>
          <t>Database</t>
        </is>
      </c>
      <c r="C87" s="4" t="inlineStr">
        <is>
          <t>Python</t>
        </is>
      </c>
      <c r="D87" s="4" t="inlineStr">
        <is>
          <t>v1.0</t>
        </is>
      </c>
      <c r="E87" s="40" t="n">
        <v>45306</v>
      </c>
      <c r="F87" s="4" t="n">
        <v>1</v>
      </c>
      <c r="G87" s="4" t="n">
        <v>1866</v>
      </c>
      <c r="H87" s="18" t="n">
        <v>15.36</v>
      </c>
      <c r="I87" s="18" t="n">
        <v>13.85</v>
      </c>
      <c r="J87" s="29" t="n">
        <v>240.3</v>
      </c>
      <c r="K87" s="29" t="n">
        <v>64.59999999999999</v>
      </c>
      <c r="L87" s="4" t="n">
        <v>9</v>
      </c>
      <c r="M87" s="4" t="n">
        <v>3</v>
      </c>
      <c r="N87" s="4" t="n">
        <v>377</v>
      </c>
      <c r="O87" s="4" t="n">
        <v>1</v>
      </c>
      <c r="P87" s="4" t="n">
        <v>0</v>
      </c>
      <c r="Q87" s="4" t="n">
        <v>0</v>
      </c>
      <c r="R87" s="4" t="n">
        <v>0</v>
      </c>
      <c r="S87" s="4">
        <f>SUM(O87:R87)</f>
        <v>1</v>
      </c>
      <c r="T87" s="18">
        <f>J87/L87</f>
        <v>26.7</v>
      </c>
      <c r="U87" s="18">
        <f>S87/G87*1000</f>
        <v>0.535905680600214</v>
      </c>
      <c r="V87" s="4">
        <f>Q87+R87</f>
        <v>0</v>
      </c>
      <c r="W87" s="29">
        <f>100*((J87-MIN($J$2:$J$236))/(MAX($J$2:$J$236)-MIN($J$2:$J$236))+(H87-MIN($H$2:$H$236))/(MAX($H$2:$H$236)-MIN($H$2:$H$236))+(1-(K87-MIN($K$2:$K$236))/(MAX($K$2:$K$236)-MIN($K$2:$K$236))))/3</f>
        <v>35.0776431438635</v>
      </c>
      <c r="X87" s="4" t="n">
        <v>0</v>
      </c>
      <c r="Y87" s="4" t="n">
        <v>0</v>
      </c>
      <c r="Z87" s="4" t="n">
        <v>0</v>
      </c>
      <c r="AA87" s="4" t="inlineStr">
        <is>
          <t>No</t>
        </is>
      </c>
      <c r="AB87" s="4" t="str">
        <f>IF(H87&lt;=Complexity!$C$11,"Q1 (lowest)",IF(H87&lt;=Complexity!$C$12,"Q2",IF(H87&lt;=Complexity!$C$13,"Q3","Q4 (highest)")))</f>
        <v>Q3</v>
      </c>
      <c r="AC87" s="4" t="str">
        <f>IF(J87&lt;=Churn!$C$11,"Q1 (lowest)",IF(J87&lt;=Churn!$C$12,"Q2",IF(J87&lt;=Churn!$C$13,"Q3","Q4 (highest)")))</f>
        <v>Q2</v>
      </c>
      <c r="AD87" s="4" t="str">
        <f>IF(K87&lt;=40,"&lt;=40%",IF(K87&lt;=60,"40-60%",IF(K87&lt;=80,"60-80%","80%+")))</f>
        <v>60-80%</v>
      </c>
      <c r="AE87" s="4" t="str">
        <f>IF(M87&lt;=2,"1-2",IF(M87&lt;=4,"3-4",IF(M87&lt;=6,"5-6","7+")))</f>
        <v>3-4</v>
      </c>
    </row>
    <row r="88">
      <c r="A88" s="4" t="inlineStr">
        <is>
          <t>database_cache</t>
        </is>
      </c>
      <c r="B88" s="4" t="inlineStr">
        <is>
          <t>Database</t>
        </is>
      </c>
      <c r="C88" s="4" t="inlineStr">
        <is>
          <t>Python</t>
        </is>
      </c>
      <c r="D88" s="4" t="inlineStr">
        <is>
          <t>v1.1</t>
        </is>
      </c>
      <c r="E88" s="40" t="n">
        <v>45432</v>
      </c>
      <c r="F88" s="4" t="n">
        <v>2</v>
      </c>
      <c r="G88" s="4" t="n">
        <v>1866</v>
      </c>
      <c r="H88" s="18" t="n">
        <v>17.93</v>
      </c>
      <c r="I88" s="18" t="n">
        <v>11.505</v>
      </c>
      <c r="J88" s="29" t="n">
        <v>267.2</v>
      </c>
      <c r="K88" s="29" t="n">
        <v>64.59999999999999</v>
      </c>
      <c r="L88" s="4" t="n">
        <v>11</v>
      </c>
      <c r="M88" s="4" t="n">
        <v>4</v>
      </c>
      <c r="N88" s="4" t="n">
        <v>318</v>
      </c>
      <c r="O88" s="4" t="n">
        <v>0</v>
      </c>
      <c r="P88" s="4" t="n">
        <v>0</v>
      </c>
      <c r="Q88" s="4" t="n">
        <v>0</v>
      </c>
      <c r="R88" s="4" t="n">
        <v>0</v>
      </c>
      <c r="S88" s="4">
        <f>SUM(O88:R88)</f>
        <v>0</v>
      </c>
      <c r="T88" s="18">
        <f>J88/L88</f>
        <v>24.2909090909091</v>
      </c>
      <c r="U88" s="18">
        <f>S88/G88*1000</f>
        <v>0</v>
      </c>
      <c r="V88" s="4">
        <f>Q88+R88</f>
        <v>0</v>
      </c>
      <c r="W88" s="29">
        <f>100*((J88-MIN($J$2:$J$236))/(MAX($J$2:$J$236)-MIN($J$2:$J$236))+(H88-MIN($H$2:$H$236))/(MAX($H$2:$H$236)-MIN($H$2:$H$236))+(1-(K88-MIN($K$2:$K$236))/(MAX($K$2:$K$236)-MIN($K$2:$K$236))))/3</f>
        <v>38.5434532535275</v>
      </c>
      <c r="X88" s="4" t="n">
        <v>1</v>
      </c>
      <c r="Y88" s="4" t="n">
        <v>0</v>
      </c>
      <c r="Z88" s="4" t="n">
        <v>0</v>
      </c>
      <c r="AA88" s="4" t="inlineStr">
        <is>
          <t>No</t>
        </is>
      </c>
      <c r="AB88" s="4" t="str">
        <f>IF(H88&lt;=Complexity!$C$11,"Q1 (lowest)",IF(H88&lt;=Complexity!$C$12,"Q2",IF(H88&lt;=Complexity!$C$13,"Q3","Q4 (highest)")))</f>
        <v>Q3</v>
      </c>
      <c r="AC88" s="4" t="str">
        <f>IF(J88&lt;=Churn!$C$11,"Q1 (lowest)",IF(J88&lt;=Churn!$C$12,"Q2",IF(J88&lt;=Churn!$C$13,"Q3","Q4 (highest)")))</f>
        <v>Q2</v>
      </c>
      <c r="AD88" s="4" t="str">
        <f>IF(K88&lt;=40,"&lt;=40%",IF(K88&lt;=60,"40-60%",IF(K88&lt;=80,"60-80%","80%+")))</f>
        <v>60-80%</v>
      </c>
      <c r="AE88" s="4" t="str">
        <f>IF(M88&lt;=2,"1-2",IF(M88&lt;=4,"3-4",IF(M88&lt;=6,"5-6","7+")))</f>
        <v>3-4</v>
      </c>
    </row>
    <row r="89">
      <c r="A89" s="4" t="inlineStr">
        <is>
          <t>database_cache</t>
        </is>
      </c>
      <c r="B89" s="4" t="inlineStr">
        <is>
          <t>Database</t>
        </is>
      </c>
      <c r="C89" s="4" t="inlineStr">
        <is>
          <t>Python</t>
        </is>
      </c>
      <c r="D89" s="4" t="inlineStr">
        <is>
          <t>v2.0</t>
        </is>
      </c>
      <c r="E89" s="40" t="n">
        <v>45545</v>
      </c>
      <c r="F89" s="4" t="n">
        <v>3</v>
      </c>
      <c r="G89" s="4" t="n">
        <v>1866</v>
      </c>
      <c r="H89" s="18" t="n">
        <v>16.51</v>
      </c>
      <c r="I89" s="18" t="n">
        <v>6.91</v>
      </c>
      <c r="J89" s="29" t="n">
        <v>227.7</v>
      </c>
      <c r="K89" s="29" t="n">
        <v>79.3</v>
      </c>
      <c r="L89" s="4" t="n">
        <v>5</v>
      </c>
      <c r="M89" s="4" t="n">
        <v>2</v>
      </c>
      <c r="N89" s="4" t="n">
        <v>282</v>
      </c>
      <c r="O89" s="4" t="n">
        <v>0</v>
      </c>
      <c r="P89" s="4" t="n">
        <v>0</v>
      </c>
      <c r="Q89" s="4" t="n">
        <v>0</v>
      </c>
      <c r="R89" s="4" t="n">
        <v>0</v>
      </c>
      <c r="S89" s="4">
        <f>SUM(O89:R89)</f>
        <v>0</v>
      </c>
      <c r="T89" s="18">
        <f>J89/L89</f>
        <v>45.54</v>
      </c>
      <c r="U89" s="18">
        <f>S89/G89*1000</f>
        <v>0</v>
      </c>
      <c r="V89" s="4">
        <f>Q89+R89</f>
        <v>0</v>
      </c>
      <c r="W89" s="29">
        <f>100*((J89-MIN($J$2:$J$236))/(MAX($J$2:$J$236)-MIN($J$2:$J$236))+(H89-MIN($H$2:$H$236))/(MAX($H$2:$H$236)-MIN($H$2:$H$236))+(1-(K89-MIN($K$2:$K$236))/(MAX($K$2:$K$236)-MIN($K$2:$K$236))))/3</f>
        <v>29.2498235927023</v>
      </c>
      <c r="X89" s="4" t="n">
        <v>0</v>
      </c>
      <c r="Y89" s="4" t="n">
        <v>0</v>
      </c>
      <c r="Z89" s="4" t="n">
        <v>0</v>
      </c>
      <c r="AA89" s="4" t="inlineStr">
        <is>
          <t>No</t>
        </is>
      </c>
      <c r="AB89" s="4" t="str">
        <f>IF(H89&lt;=Complexity!$C$11,"Q1 (lowest)",IF(H89&lt;=Complexity!$C$12,"Q2",IF(H89&lt;=Complexity!$C$13,"Q3","Q4 (highest)")))</f>
        <v>Q3</v>
      </c>
      <c r="AC89" s="4" t="str">
        <f>IF(J89&lt;=Churn!$C$11,"Q1 (lowest)",IF(J89&lt;=Churn!$C$12,"Q2",IF(J89&lt;=Churn!$C$13,"Q3","Q4 (highest)")))</f>
        <v>Q2</v>
      </c>
      <c r="AD89" s="4" t="str">
        <f>IF(K89&lt;=40,"&lt;=40%",IF(K89&lt;=60,"40-60%",IF(K89&lt;=80,"60-80%","80%+")))</f>
        <v>60-80%</v>
      </c>
      <c r="AE89" s="4" t="str">
        <f>IF(M89&lt;=2,"1-2",IF(M89&lt;=4,"3-4",IF(M89&lt;=6,"5-6","7+")))</f>
        <v>1-2</v>
      </c>
    </row>
    <row r="90">
      <c r="A90" s="4" t="inlineStr">
        <is>
          <t>database_cache</t>
        </is>
      </c>
      <c r="B90" s="4" t="inlineStr">
        <is>
          <t>Database</t>
        </is>
      </c>
      <c r="C90" s="4" t="inlineStr">
        <is>
          <t>Python</t>
        </is>
      </c>
      <c r="D90" s="4" t="inlineStr">
        <is>
          <t>v2.1</t>
        </is>
      </c>
      <c r="E90" s="40" t="n">
        <v>45706</v>
      </c>
      <c r="F90" s="4" t="n">
        <v>4</v>
      </c>
      <c r="G90" s="4" t="n">
        <v>1866</v>
      </c>
      <c r="H90" s="18" t="n">
        <v>18.24</v>
      </c>
      <c r="I90" s="18" t="n">
        <v>12.44</v>
      </c>
      <c r="J90" s="29" t="n">
        <v>322.7</v>
      </c>
      <c r="K90" s="29" t="n">
        <v>61.9</v>
      </c>
      <c r="L90" s="4" t="n">
        <v>12</v>
      </c>
      <c r="M90" s="4" t="n">
        <v>4</v>
      </c>
      <c r="N90" s="4" t="n">
        <v>388</v>
      </c>
      <c r="O90" s="4" t="n">
        <v>0</v>
      </c>
      <c r="P90" s="4" t="n">
        <v>0</v>
      </c>
      <c r="Q90" s="4" t="n">
        <v>0</v>
      </c>
      <c r="R90" s="4" t="n">
        <v>0</v>
      </c>
      <c r="S90" s="4">
        <f>SUM(O90:R90)</f>
        <v>0</v>
      </c>
      <c r="T90" s="18">
        <f>J90/L90</f>
        <v>26.8916666666667</v>
      </c>
      <c r="U90" s="18">
        <f>S90/G90*1000</f>
        <v>0</v>
      </c>
      <c r="V90" s="4">
        <f>Q90+R90</f>
        <v>0</v>
      </c>
      <c r="W90" s="29">
        <f>100*((J90-MIN($J$2:$J$236))/(MAX($J$2:$J$236)-MIN($J$2:$J$236))+(H90-MIN($H$2:$H$236))/(MAX($H$2:$H$236)-MIN($H$2:$H$236))+(1-(K90-MIN($K$2:$K$236))/(MAX($K$2:$K$236)-MIN($K$2:$K$236))))/3</f>
        <v>41.6254874652594</v>
      </c>
      <c r="X90" s="4" t="n">
        <v>0</v>
      </c>
      <c r="Y90" s="4" t="n">
        <v>0</v>
      </c>
      <c r="Z90" s="4" t="n">
        <v>0</v>
      </c>
      <c r="AA90" s="4" t="inlineStr">
        <is>
          <t>No</t>
        </is>
      </c>
      <c r="AB90" s="4" t="str">
        <f>IF(H90&lt;=Complexity!$C$11,"Q1 (lowest)",IF(H90&lt;=Complexity!$C$12,"Q2",IF(H90&lt;=Complexity!$C$13,"Q3","Q4 (highest)")))</f>
        <v>Q3</v>
      </c>
      <c r="AC90" s="4" t="str">
        <f>IF(J90&lt;=Churn!$C$11,"Q1 (lowest)",IF(J90&lt;=Churn!$C$12,"Q2",IF(J90&lt;=Churn!$C$13,"Q3","Q4 (highest)")))</f>
        <v>Q3</v>
      </c>
      <c r="AD90" s="4" t="str">
        <f>IF(K90&lt;=40,"&lt;=40%",IF(K90&lt;=60,"40-60%",IF(K90&lt;=80,"60-80%","80%+")))</f>
        <v>60-80%</v>
      </c>
      <c r="AE90" s="4" t="str">
        <f>IF(M90&lt;=2,"1-2",IF(M90&lt;=4,"3-4",IF(M90&lt;=6,"5-6","7+")))</f>
        <v>3-4</v>
      </c>
    </row>
    <row r="91">
      <c r="A91" s="4" t="inlineStr">
        <is>
          <t>database_cache</t>
        </is>
      </c>
      <c r="B91" s="4" t="inlineStr">
        <is>
          <t>Database</t>
        </is>
      </c>
      <c r="C91" s="4" t="inlineStr">
        <is>
          <t>Python</t>
        </is>
      </c>
      <c r="D91" s="4" t="inlineStr">
        <is>
          <t>v3.0</t>
        </is>
      </c>
      <c r="E91" s="40" t="n">
        <v>45839</v>
      </c>
      <c r="F91" s="4" t="n">
        <v>5</v>
      </c>
      <c r="G91" s="4" t="n">
        <v>1866</v>
      </c>
      <c r="H91" s="18" t="n">
        <v>14.7</v>
      </c>
      <c r="I91" s="18" t="n">
        <v>10.57</v>
      </c>
      <c r="J91" s="29" t="n">
        <v>164.8</v>
      </c>
      <c r="K91" s="29" t="n">
        <v>64.59999999999999</v>
      </c>
      <c r="L91" s="4" t="n">
        <v>5</v>
      </c>
      <c r="M91" s="4" t="n">
        <v>3</v>
      </c>
      <c r="N91" s="4" t="n">
        <v>267</v>
      </c>
      <c r="O91" s="4" t="n">
        <v>0</v>
      </c>
      <c r="P91" s="4" t="n">
        <v>0</v>
      </c>
      <c r="Q91" s="4" t="n">
        <v>0</v>
      </c>
      <c r="R91" s="4" t="n">
        <v>1</v>
      </c>
      <c r="S91" s="4">
        <f>SUM(O91:R91)</f>
        <v>1</v>
      </c>
      <c r="T91" s="18">
        <f>J91/L91</f>
        <v>32.96</v>
      </c>
      <c r="U91" s="18">
        <f>S91/G91*1000</f>
        <v>0.535905680600214</v>
      </c>
      <c r="V91" s="4">
        <f>Q91+R91</f>
        <v>1</v>
      </c>
      <c r="W91" s="29">
        <f>100*((J91-MIN($J$2:$J$236))/(MAX($J$2:$J$236)-MIN($J$2:$J$236))+(H91-MIN($H$2:$H$236))/(MAX($H$2:$H$236)-MIN($H$2:$H$236))+(1-(K91-MIN($K$2:$K$236))/(MAX($K$2:$K$236)-MIN($K$2:$K$236))))/3</f>
        <v>32.3068682833906</v>
      </c>
      <c r="X91" s="4" t="n">
        <v>0</v>
      </c>
      <c r="Y91" s="4" t="n">
        <v>0</v>
      </c>
      <c r="Z91" s="4" t="n">
        <v>0</v>
      </c>
      <c r="AA91" s="4" t="inlineStr">
        <is>
          <t>No</t>
        </is>
      </c>
      <c r="AB91" s="4" t="str">
        <f>IF(H91&lt;=Complexity!$C$11,"Q1 (lowest)",IF(H91&lt;=Complexity!$C$12,"Q2",IF(H91&lt;=Complexity!$C$13,"Q3","Q4 (highest)")))</f>
        <v>Q2</v>
      </c>
      <c r="AC91" s="4" t="str">
        <f>IF(J91&lt;=Churn!$C$11,"Q1 (lowest)",IF(J91&lt;=Churn!$C$12,"Q2",IF(J91&lt;=Churn!$C$13,"Q3","Q4 (highest)")))</f>
        <v>Q1 (lowest)</v>
      </c>
      <c r="AD91" s="4" t="str">
        <f>IF(K91&lt;=40,"&lt;=40%",IF(K91&lt;=60,"40-60%",IF(K91&lt;=80,"60-80%","80%+")))</f>
        <v>60-80%</v>
      </c>
      <c r="AE91" s="4" t="str">
        <f>IF(M91&lt;=2,"1-2",IF(M91&lt;=4,"3-4",IF(M91&lt;=6,"5-6","7+")))</f>
        <v>3-4</v>
      </c>
    </row>
    <row r="92">
      <c r="A92" s="4" t="inlineStr">
        <is>
          <t>database_indexing</t>
        </is>
      </c>
      <c r="B92" s="4" t="inlineStr">
        <is>
          <t>Database</t>
        </is>
      </c>
      <c r="C92" s="4" t="inlineStr">
        <is>
          <t>C++</t>
        </is>
      </c>
      <c r="D92" s="4" t="inlineStr">
        <is>
          <t>v1.0</t>
        </is>
      </c>
      <c r="E92" s="40" t="n">
        <v>45306</v>
      </c>
      <c r="F92" s="4" t="n">
        <v>1</v>
      </c>
      <c r="G92" s="4" t="n">
        <v>2952</v>
      </c>
      <c r="H92" s="18" t="n">
        <v>9.279999999999999</v>
      </c>
      <c r="I92" s="18" t="n">
        <v>5.43</v>
      </c>
      <c r="J92" s="29" t="n">
        <v>164.1</v>
      </c>
      <c r="K92" s="29" t="n">
        <v>65.59999999999999</v>
      </c>
      <c r="L92" s="4" t="n">
        <v>4</v>
      </c>
      <c r="M92" s="4" t="n">
        <v>2</v>
      </c>
      <c r="N92" s="4" t="n">
        <v>285</v>
      </c>
      <c r="O92" s="4" t="n">
        <v>0</v>
      </c>
      <c r="P92" s="4" t="n">
        <v>0</v>
      </c>
      <c r="Q92" s="4" t="n">
        <v>0</v>
      </c>
      <c r="R92" s="4" t="n">
        <v>0</v>
      </c>
      <c r="S92" s="4">
        <f>SUM(O92:R92)</f>
        <v>0</v>
      </c>
      <c r="T92" s="18">
        <f>J92/L92</f>
        <v>41.025</v>
      </c>
      <c r="U92" s="18">
        <f>S92/G92*1000</f>
        <v>0</v>
      </c>
      <c r="V92" s="4">
        <f>Q92+R92</f>
        <v>0</v>
      </c>
      <c r="W92" s="29">
        <f>100*((J92-MIN($J$2:$J$236))/(MAX($J$2:$J$236)-MIN($J$2:$J$236))+(H92-MIN($H$2:$H$236))/(MAX($H$2:$H$236)-MIN($H$2:$H$236))+(1-(K92-MIN($K$2:$K$236))/(MAX($K$2:$K$236)-MIN($K$2:$K$236))))/3</f>
        <v>26.0779631007348</v>
      </c>
      <c r="X92" s="4" t="n">
        <v>0</v>
      </c>
      <c r="Y92" s="4" t="n">
        <v>0</v>
      </c>
      <c r="Z92" s="4" t="n">
        <v>0</v>
      </c>
      <c r="AA92" s="4" t="inlineStr">
        <is>
          <t>No</t>
        </is>
      </c>
      <c r="AB92" s="4" t="str">
        <f>IF(H92&lt;=Complexity!$C$11,"Q1 (lowest)",IF(H92&lt;=Complexity!$C$12,"Q2",IF(H92&lt;=Complexity!$C$13,"Q3","Q4 (highest)")))</f>
        <v>Q1 (lowest)</v>
      </c>
      <c r="AC92" s="4" t="str">
        <f>IF(J92&lt;=Churn!$C$11,"Q1 (lowest)",IF(J92&lt;=Churn!$C$12,"Q2",IF(J92&lt;=Churn!$C$13,"Q3","Q4 (highest)")))</f>
        <v>Q1 (lowest)</v>
      </c>
      <c r="AD92" s="4" t="str">
        <f>IF(K92&lt;=40,"&lt;=40%",IF(K92&lt;=60,"40-60%",IF(K92&lt;=80,"60-80%","80%+")))</f>
        <v>60-80%</v>
      </c>
      <c r="AE92" s="4" t="str">
        <f>IF(M92&lt;=2,"1-2",IF(M92&lt;=4,"3-4",IF(M92&lt;=6,"5-6","7+")))</f>
        <v>1-2</v>
      </c>
    </row>
    <row r="93">
      <c r="A93" s="4" t="inlineStr">
        <is>
          <t>database_indexing</t>
        </is>
      </c>
      <c r="B93" s="4" t="inlineStr">
        <is>
          <t>Database</t>
        </is>
      </c>
      <c r="C93" s="4" t="inlineStr">
        <is>
          <t>C++</t>
        </is>
      </c>
      <c r="D93" s="4" t="inlineStr">
        <is>
          <t>v1.1</t>
        </is>
      </c>
      <c r="E93" s="40" t="n">
        <v>45432</v>
      </c>
      <c r="F93" s="4" t="n">
        <v>2</v>
      </c>
      <c r="G93" s="4" t="n">
        <v>2952</v>
      </c>
      <c r="H93" s="18" t="n">
        <v>7.93</v>
      </c>
      <c r="I93" s="18" t="n">
        <v>5.27</v>
      </c>
      <c r="J93" s="29" t="n">
        <v>126.8</v>
      </c>
      <c r="K93" s="29" t="n">
        <v>54</v>
      </c>
      <c r="L93" s="4" t="n">
        <v>5</v>
      </c>
      <c r="M93" s="4" t="n">
        <v>2</v>
      </c>
      <c r="N93" s="4" t="n">
        <v>177</v>
      </c>
      <c r="O93" s="4" t="n">
        <v>0</v>
      </c>
      <c r="P93" s="4" t="n">
        <v>0</v>
      </c>
      <c r="Q93" s="4" t="n">
        <v>0</v>
      </c>
      <c r="R93" s="4" t="n">
        <v>0</v>
      </c>
      <c r="S93" s="4">
        <f>SUM(O93:R93)</f>
        <v>0</v>
      </c>
      <c r="T93" s="18">
        <f>J93/L93</f>
        <v>25.36</v>
      </c>
      <c r="U93" s="18">
        <f>S93/G93*1000</f>
        <v>0</v>
      </c>
      <c r="V93" s="4">
        <f>Q93+R93</f>
        <v>0</v>
      </c>
      <c r="W93" s="29">
        <f>100*((J93-MIN($J$2:$J$236))/(MAX($J$2:$J$236)-MIN($J$2:$J$236))+(H93-MIN($H$2:$H$236))/(MAX($H$2:$H$236)-MIN($H$2:$H$236))+(1-(K93-MIN($K$2:$K$236))/(MAX($K$2:$K$236)-MIN($K$2:$K$236))))/3</f>
        <v>28.9116693766372</v>
      </c>
      <c r="X93" s="4" t="n">
        <v>0</v>
      </c>
      <c r="Y93" s="4" t="n">
        <v>0</v>
      </c>
      <c r="Z93" s="4" t="n">
        <v>0</v>
      </c>
      <c r="AA93" s="4" t="inlineStr">
        <is>
          <t>No</t>
        </is>
      </c>
      <c r="AB93" s="4" t="str">
        <f>IF(H93&lt;=Complexity!$C$11,"Q1 (lowest)",IF(H93&lt;=Complexity!$C$12,"Q2",IF(H93&lt;=Complexity!$C$13,"Q3","Q4 (highest)")))</f>
        <v>Q1 (lowest)</v>
      </c>
      <c r="AC93" s="4" t="str">
        <f>IF(J93&lt;=Churn!$C$11,"Q1 (lowest)",IF(J93&lt;=Churn!$C$12,"Q2",IF(J93&lt;=Churn!$C$13,"Q3","Q4 (highest)")))</f>
        <v>Q1 (lowest)</v>
      </c>
      <c r="AD93" s="4" t="str">
        <f>IF(K93&lt;=40,"&lt;=40%",IF(K93&lt;=60,"40-60%",IF(K93&lt;=80,"60-80%","80%+")))</f>
        <v>40-60%</v>
      </c>
      <c r="AE93" s="4" t="str">
        <f>IF(M93&lt;=2,"1-2",IF(M93&lt;=4,"3-4",IF(M93&lt;=6,"5-6","7+")))</f>
        <v>1-2</v>
      </c>
    </row>
    <row r="94">
      <c r="A94" s="4" t="inlineStr">
        <is>
          <t>database_indexing</t>
        </is>
      </c>
      <c r="B94" s="4" t="inlineStr">
        <is>
          <t>Database</t>
        </is>
      </c>
      <c r="C94" s="4" t="inlineStr">
        <is>
          <t>C++</t>
        </is>
      </c>
      <c r="D94" s="4" t="inlineStr">
        <is>
          <t>v2.0</t>
        </is>
      </c>
      <c r="E94" s="40" t="n">
        <v>45545</v>
      </c>
      <c r="F94" s="4" t="n">
        <v>3</v>
      </c>
      <c r="G94" s="4" t="n">
        <v>2952</v>
      </c>
      <c r="H94" s="18" t="n">
        <v>9.720000000000001</v>
      </c>
      <c r="I94" s="18" t="n">
        <v>9.06</v>
      </c>
      <c r="J94" s="29" t="n">
        <v>257.7</v>
      </c>
      <c r="K94" s="29" t="n">
        <v>53.4</v>
      </c>
      <c r="L94" s="4" t="n">
        <v>14</v>
      </c>
      <c r="M94" s="4" t="n">
        <v>4</v>
      </c>
      <c r="N94" s="4" t="n">
        <v>462</v>
      </c>
      <c r="O94" s="4" t="n">
        <v>0</v>
      </c>
      <c r="P94" s="4" t="n">
        <v>0</v>
      </c>
      <c r="Q94" s="4" t="n">
        <v>0</v>
      </c>
      <c r="R94" s="4" t="n">
        <v>0</v>
      </c>
      <c r="S94" s="4">
        <f>SUM(O94:R94)</f>
        <v>0</v>
      </c>
      <c r="T94" s="18">
        <f>J94/L94</f>
        <v>18.4071428571429</v>
      </c>
      <c r="U94" s="18">
        <f>S94/G94*1000</f>
        <v>0</v>
      </c>
      <c r="V94" s="4">
        <f>Q94+R94</f>
        <v>0</v>
      </c>
      <c r="W94" s="29">
        <f>100*((J94-MIN($J$2:$J$236))/(MAX($J$2:$J$236)-MIN($J$2:$J$236))+(H94-MIN($H$2:$H$236))/(MAX($H$2:$H$236)-MIN($H$2:$H$236))+(1-(K94-MIN($K$2:$K$236))/(MAX($K$2:$K$236)-MIN($K$2:$K$236))))/3</f>
        <v>34.6746325277714</v>
      </c>
      <c r="X94" s="4" t="n">
        <v>0</v>
      </c>
      <c r="Y94" s="4" t="n">
        <v>0</v>
      </c>
      <c r="Z94" s="4" t="n">
        <v>0</v>
      </c>
      <c r="AA94" s="4" t="inlineStr">
        <is>
          <t>No</t>
        </is>
      </c>
      <c r="AB94" s="4" t="str">
        <f>IF(H94&lt;=Complexity!$C$11,"Q1 (lowest)",IF(H94&lt;=Complexity!$C$12,"Q2",IF(H94&lt;=Complexity!$C$13,"Q3","Q4 (highest)")))</f>
        <v>Q1 (lowest)</v>
      </c>
      <c r="AC94" s="4" t="str">
        <f>IF(J94&lt;=Churn!$C$11,"Q1 (lowest)",IF(J94&lt;=Churn!$C$12,"Q2",IF(J94&lt;=Churn!$C$13,"Q3","Q4 (highest)")))</f>
        <v>Q2</v>
      </c>
      <c r="AD94" s="4" t="str">
        <f>IF(K94&lt;=40,"&lt;=40%",IF(K94&lt;=60,"40-60%",IF(K94&lt;=80,"60-80%","80%+")))</f>
        <v>40-60%</v>
      </c>
      <c r="AE94" s="4" t="str">
        <f>IF(M94&lt;=2,"1-2",IF(M94&lt;=4,"3-4",IF(M94&lt;=6,"5-6","7+")))</f>
        <v>3-4</v>
      </c>
    </row>
    <row r="95">
      <c r="A95" s="4" t="inlineStr">
        <is>
          <t>database_indexing</t>
        </is>
      </c>
      <c r="B95" s="4" t="inlineStr">
        <is>
          <t>Database</t>
        </is>
      </c>
      <c r="C95" s="4" t="inlineStr">
        <is>
          <t>C++</t>
        </is>
      </c>
      <c r="D95" s="4" t="inlineStr">
        <is>
          <t>v2.1</t>
        </is>
      </c>
      <c r="E95" s="40" t="n">
        <v>45706</v>
      </c>
      <c r="F95" s="4" t="n">
        <v>4</v>
      </c>
      <c r="G95" s="4" t="n">
        <v>2952</v>
      </c>
      <c r="H95" s="18" t="n">
        <v>9.145</v>
      </c>
      <c r="I95" s="18" t="n">
        <v>9.970000000000001</v>
      </c>
      <c r="J95" s="29" t="n">
        <v>369.8</v>
      </c>
      <c r="K95" s="29" t="n">
        <v>60.3</v>
      </c>
      <c r="L95" s="4" t="n">
        <v>10</v>
      </c>
      <c r="M95" s="4" t="n">
        <v>3</v>
      </c>
      <c r="N95" s="4" t="n">
        <v>455</v>
      </c>
      <c r="O95" s="4" t="n">
        <v>0</v>
      </c>
      <c r="P95" s="4" t="n">
        <v>0</v>
      </c>
      <c r="Q95" s="4" t="n">
        <v>0</v>
      </c>
      <c r="R95" s="4" t="n">
        <v>0</v>
      </c>
      <c r="S95" s="4">
        <f>SUM(O95:R95)</f>
        <v>0</v>
      </c>
      <c r="T95" s="18">
        <f>J95/L95</f>
        <v>36.98</v>
      </c>
      <c r="U95" s="18">
        <f>S95/G95*1000</f>
        <v>0</v>
      </c>
      <c r="V95" s="4">
        <f>Q95+R95</f>
        <v>0</v>
      </c>
      <c r="W95" s="29">
        <f>100*((J95-MIN($J$2:$J$236))/(MAX($J$2:$J$236)-MIN($J$2:$J$236))+(H95-MIN($H$2:$H$236))/(MAX($H$2:$H$236)-MIN($H$2:$H$236))+(1-(K95-MIN($K$2:$K$236))/(MAX($K$2:$K$236)-MIN($K$2:$K$236))))/3</f>
        <v>33.9915292763798</v>
      </c>
      <c r="X95" s="4" t="n">
        <v>0</v>
      </c>
      <c r="Y95" s="4" t="n">
        <v>0</v>
      </c>
      <c r="Z95" s="4" t="n">
        <v>0</v>
      </c>
      <c r="AA95" s="4" t="inlineStr">
        <is>
          <t>Yes</t>
        </is>
      </c>
      <c r="AB95" s="4" t="str">
        <f>IF(H95&lt;=Complexity!$C$11,"Q1 (lowest)",IF(H95&lt;=Complexity!$C$12,"Q2",IF(H95&lt;=Complexity!$C$13,"Q3","Q4 (highest)")))</f>
        <v>Q1 (lowest)</v>
      </c>
      <c r="AC95" s="4" t="str">
        <f>IF(J95&lt;=Churn!$C$11,"Q1 (lowest)",IF(J95&lt;=Churn!$C$12,"Q2",IF(J95&lt;=Churn!$C$13,"Q3","Q4 (highest)")))</f>
        <v>Q3</v>
      </c>
      <c r="AD95" s="4" t="str">
        <f>IF(K95&lt;=40,"&lt;=40%",IF(K95&lt;=60,"40-60%",IF(K95&lt;=80,"60-80%","80%+")))</f>
        <v>60-80%</v>
      </c>
      <c r="AE95" s="4" t="str">
        <f>IF(M95&lt;=2,"1-2",IF(M95&lt;=4,"3-4",IF(M95&lt;=6,"5-6","7+")))</f>
        <v>3-4</v>
      </c>
    </row>
    <row r="96">
      <c r="A96" s="4" t="inlineStr">
        <is>
          <t>database_indexing</t>
        </is>
      </c>
      <c r="B96" s="4" t="inlineStr">
        <is>
          <t>Database</t>
        </is>
      </c>
      <c r="C96" s="4" t="inlineStr">
        <is>
          <t>C++</t>
        </is>
      </c>
      <c r="D96" s="4" t="inlineStr">
        <is>
          <t>v3.0</t>
        </is>
      </c>
      <c r="E96" s="40" t="n">
        <v>45839</v>
      </c>
      <c r="F96" s="4" t="n">
        <v>5</v>
      </c>
      <c r="G96" s="4" t="n">
        <v>2952</v>
      </c>
      <c r="H96" s="18" t="n">
        <v>9.01</v>
      </c>
      <c r="I96" s="18" t="n">
        <v>5.28</v>
      </c>
      <c r="J96" s="29" t="n">
        <v>82</v>
      </c>
      <c r="K96" s="29" t="n">
        <v>56.6</v>
      </c>
      <c r="L96" s="4" t="n">
        <v>2</v>
      </c>
      <c r="M96" s="4" t="n">
        <v>1</v>
      </c>
      <c r="N96" s="4" t="n">
        <v>113</v>
      </c>
      <c r="O96" s="4" t="n">
        <v>1</v>
      </c>
      <c r="P96" s="4" t="n">
        <v>0</v>
      </c>
      <c r="Q96" s="4" t="n">
        <v>0</v>
      </c>
      <c r="R96" s="4" t="n">
        <v>0</v>
      </c>
      <c r="S96" s="4">
        <f>SUM(O96:R96)</f>
        <v>1</v>
      </c>
      <c r="T96" s="18">
        <f>J96/L96</f>
        <v>41</v>
      </c>
      <c r="U96" s="18">
        <f>S96/G96*1000</f>
        <v>0.338753387533875</v>
      </c>
      <c r="V96" s="4">
        <f>Q96+R96</f>
        <v>0</v>
      </c>
      <c r="W96" s="29">
        <f>100*((J96-MIN($J$2:$J$236))/(MAX($J$2:$J$236)-MIN($J$2:$J$236))+(H96-MIN($H$2:$H$236))/(MAX($H$2:$H$236)-MIN($H$2:$H$236))+(1-(K96-MIN($K$2:$K$236))/(MAX($K$2:$K$236)-MIN($K$2:$K$236))))/3</f>
        <v>27.6442024486038</v>
      </c>
      <c r="X96" s="4" t="n">
        <v>0</v>
      </c>
      <c r="Y96" s="4" t="n">
        <v>0</v>
      </c>
      <c r="Z96" s="4" t="n">
        <v>0</v>
      </c>
      <c r="AA96" s="4" t="inlineStr">
        <is>
          <t>No</t>
        </is>
      </c>
      <c r="AB96" s="4" t="str">
        <f>IF(H96&lt;=Complexity!$C$11,"Q1 (lowest)",IF(H96&lt;=Complexity!$C$12,"Q2",IF(H96&lt;=Complexity!$C$13,"Q3","Q4 (highest)")))</f>
        <v>Q1 (lowest)</v>
      </c>
      <c r="AC96" s="4" t="str">
        <f>IF(J96&lt;=Churn!$C$11,"Q1 (lowest)",IF(J96&lt;=Churn!$C$12,"Q2",IF(J96&lt;=Churn!$C$13,"Q3","Q4 (highest)")))</f>
        <v>Q1 (lowest)</v>
      </c>
      <c r="AD96" s="4" t="str">
        <f>IF(K96&lt;=40,"&lt;=40%",IF(K96&lt;=60,"40-60%",IF(K96&lt;=80,"60-80%","80%+")))</f>
        <v>40-60%</v>
      </c>
      <c r="AE96" s="4" t="str">
        <f>IF(M96&lt;=2,"1-2",IF(M96&lt;=4,"3-4",IF(M96&lt;=6,"5-6","7+")))</f>
        <v>1-2</v>
      </c>
    </row>
    <row r="97">
      <c r="A97" s="4" t="inlineStr">
        <is>
          <t>database_migration</t>
        </is>
      </c>
      <c r="B97" s="4" t="inlineStr">
        <is>
          <t>Database</t>
        </is>
      </c>
      <c r="C97" s="4" t="inlineStr">
        <is>
          <t>C++</t>
        </is>
      </c>
      <c r="D97" s="4" t="inlineStr">
        <is>
          <t>v1.0</t>
        </is>
      </c>
      <c r="E97" s="40" t="n">
        <v>45306</v>
      </c>
      <c r="F97" s="4" t="n">
        <v>1</v>
      </c>
      <c r="G97" s="4" t="n">
        <v>2891</v>
      </c>
      <c r="H97" s="18" t="n">
        <v>13.67</v>
      </c>
      <c r="I97" s="18" t="n">
        <v>13.88</v>
      </c>
      <c r="J97" s="29" t="n">
        <v>686.9</v>
      </c>
      <c r="K97" s="29" t="n">
        <v>59</v>
      </c>
      <c r="L97" s="4" t="n">
        <v>17</v>
      </c>
      <c r="M97" s="4" t="n">
        <v>4</v>
      </c>
      <c r="N97" s="4" t="n">
        <v>779</v>
      </c>
      <c r="O97" s="4" t="n">
        <v>0</v>
      </c>
      <c r="P97" s="4" t="n">
        <v>1</v>
      </c>
      <c r="Q97" s="4" t="n">
        <v>0</v>
      </c>
      <c r="R97" s="4" t="n">
        <v>0</v>
      </c>
      <c r="S97" s="4">
        <f>SUM(O97:R97)</f>
        <v>1</v>
      </c>
      <c r="T97" s="18">
        <f>J97/L97</f>
        <v>40.4058823529412</v>
      </c>
      <c r="U97" s="18">
        <f>S97/G97*1000</f>
        <v>0.345901072293324</v>
      </c>
      <c r="V97" s="4">
        <f>Q97+R97</f>
        <v>0</v>
      </c>
      <c r="W97" s="29">
        <f>100*((J97-MIN($J$2:$J$236))/(MAX($J$2:$J$236)-MIN($J$2:$J$236))+(H97-MIN($H$2:$H$236))/(MAX($H$2:$H$236)-MIN($H$2:$H$236))+(1-(K97-MIN($K$2:$K$236))/(MAX($K$2:$K$236)-MIN($K$2:$K$236))))/3</f>
        <v>48.082513130594</v>
      </c>
      <c r="X97" s="4" t="n">
        <v>0</v>
      </c>
      <c r="Y97" s="4" t="n">
        <v>1</v>
      </c>
      <c r="Z97" s="4" t="n">
        <v>0</v>
      </c>
      <c r="AA97" s="4" t="inlineStr">
        <is>
          <t>No</t>
        </is>
      </c>
      <c r="AB97" s="4" t="str">
        <f>IF(H97&lt;=Complexity!$C$11,"Q1 (lowest)",IF(H97&lt;=Complexity!$C$12,"Q2",IF(H97&lt;=Complexity!$C$13,"Q3","Q4 (highest)")))</f>
        <v>Q2</v>
      </c>
      <c r="AC97" s="4" t="str">
        <f>IF(J97&lt;=Churn!$C$11,"Q1 (lowest)",IF(J97&lt;=Churn!$C$12,"Q2",IF(J97&lt;=Churn!$C$13,"Q3","Q4 (highest)")))</f>
        <v>Q4 (highest)</v>
      </c>
      <c r="AD97" s="4" t="str">
        <f>IF(K97&lt;=40,"&lt;=40%",IF(K97&lt;=60,"40-60%",IF(K97&lt;=80,"60-80%","80%+")))</f>
        <v>40-60%</v>
      </c>
      <c r="AE97" s="4" t="str">
        <f>IF(M97&lt;=2,"1-2",IF(M97&lt;=4,"3-4",IF(M97&lt;=6,"5-6","7+")))</f>
        <v>3-4</v>
      </c>
    </row>
    <row r="98">
      <c r="A98" s="4" t="inlineStr">
        <is>
          <t>database_migration</t>
        </is>
      </c>
      <c r="B98" s="4" t="inlineStr">
        <is>
          <t>Database</t>
        </is>
      </c>
      <c r="C98" s="4" t="inlineStr">
        <is>
          <t>C++</t>
        </is>
      </c>
      <c r="D98" s="4" t="inlineStr">
        <is>
          <t>v1.1</t>
        </is>
      </c>
      <c r="E98" s="40" t="n">
        <v>45432</v>
      </c>
      <c r="F98" s="4" t="n">
        <v>2</v>
      </c>
      <c r="G98" s="4" t="n">
        <v>2891</v>
      </c>
      <c r="H98" s="18" t="n">
        <v>17.55</v>
      </c>
      <c r="I98" s="18" t="n">
        <v>13.28</v>
      </c>
      <c r="J98" s="29" t="n">
        <v>554.2</v>
      </c>
      <c r="K98" s="29" t="n">
        <v>55.5</v>
      </c>
      <c r="L98" s="4" t="n">
        <v>24</v>
      </c>
      <c r="M98" s="4" t="n">
        <v>6</v>
      </c>
      <c r="N98" s="4" t="n">
        <v>849</v>
      </c>
      <c r="O98" s="4" t="n">
        <v>1</v>
      </c>
      <c r="P98" s="4" t="n">
        <v>0</v>
      </c>
      <c r="Q98" s="4" t="n">
        <v>1</v>
      </c>
      <c r="R98" s="4" t="n">
        <v>1</v>
      </c>
      <c r="S98" s="4">
        <f>SUM(O98:R98)</f>
        <v>3</v>
      </c>
      <c r="T98" s="18">
        <f>J98/L98</f>
        <v>23.0916666666667</v>
      </c>
      <c r="U98" s="18">
        <f>S98/G98*1000</f>
        <v>1.03770321687997</v>
      </c>
      <c r="V98" s="4">
        <f>Q98+R98</f>
        <v>2</v>
      </c>
      <c r="W98" s="29">
        <f>100*((J98-MIN($J$2:$J$236))/(MAX($J$2:$J$236)-MIN($J$2:$J$236))+(H98-MIN($H$2:$H$236))/(MAX($H$2:$H$236)-MIN($H$2:$H$236))+(1-(K98-MIN($K$2:$K$236))/(MAX($K$2:$K$236)-MIN($K$2:$K$236))))/3</f>
        <v>50.1588890215503</v>
      </c>
      <c r="X98" s="4" t="n">
        <v>1</v>
      </c>
      <c r="Y98" s="4" t="n">
        <v>1</v>
      </c>
      <c r="Z98" s="4" t="n">
        <v>1</v>
      </c>
      <c r="AA98" s="4" t="inlineStr">
        <is>
          <t>No</t>
        </is>
      </c>
      <c r="AB98" s="4" t="str">
        <f>IF(H98&lt;=Complexity!$C$11,"Q1 (lowest)",IF(H98&lt;=Complexity!$C$12,"Q2",IF(H98&lt;=Complexity!$C$13,"Q3","Q4 (highest)")))</f>
        <v>Q3</v>
      </c>
      <c r="AC98" s="4" t="str">
        <f>IF(J98&lt;=Churn!$C$11,"Q1 (lowest)",IF(J98&lt;=Churn!$C$12,"Q2",IF(J98&lt;=Churn!$C$13,"Q3","Q4 (highest)")))</f>
        <v>Q4 (highest)</v>
      </c>
      <c r="AD98" s="4" t="str">
        <f>IF(K98&lt;=40,"&lt;=40%",IF(K98&lt;=60,"40-60%",IF(K98&lt;=80,"60-80%","80%+")))</f>
        <v>40-60%</v>
      </c>
      <c r="AE98" s="4" t="str">
        <f>IF(M98&lt;=2,"1-2",IF(M98&lt;=4,"3-4",IF(M98&lt;=6,"5-6","7+")))</f>
        <v>5-6</v>
      </c>
    </row>
    <row r="99">
      <c r="A99" s="4" t="inlineStr">
        <is>
          <t>database_migration</t>
        </is>
      </c>
      <c r="B99" s="4" t="inlineStr">
        <is>
          <t>Database</t>
        </is>
      </c>
      <c r="C99" s="4" t="inlineStr">
        <is>
          <t>C++</t>
        </is>
      </c>
      <c r="D99" s="4" t="inlineStr">
        <is>
          <t>v2.0</t>
        </is>
      </c>
      <c r="E99" s="40" t="n">
        <v>45545</v>
      </c>
      <c r="F99" s="4" t="n">
        <v>3</v>
      </c>
      <c r="G99" s="4" t="n">
        <v>2891</v>
      </c>
      <c r="H99" s="18" t="n">
        <v>25.98</v>
      </c>
      <c r="I99" s="18" t="n">
        <v>17.68</v>
      </c>
      <c r="J99" s="29" t="n">
        <v>849.6</v>
      </c>
      <c r="K99" s="29" t="n">
        <v>54.2</v>
      </c>
      <c r="L99" s="4" t="n">
        <v>28</v>
      </c>
      <c r="M99" s="4" t="n">
        <v>4</v>
      </c>
      <c r="N99" s="4" t="n">
        <v>1125</v>
      </c>
      <c r="O99" s="4" t="n">
        <v>2</v>
      </c>
      <c r="P99" s="4" t="n">
        <v>3</v>
      </c>
      <c r="Q99" s="4" t="n">
        <v>0</v>
      </c>
      <c r="R99" s="4" t="n">
        <v>0</v>
      </c>
      <c r="S99" s="4">
        <f>SUM(O99:R99)</f>
        <v>5</v>
      </c>
      <c r="T99" s="18">
        <f>J99/L99</f>
        <v>30.3428571428571</v>
      </c>
      <c r="U99" s="18">
        <f>S99/G99*1000</f>
        <v>1.72950536146662</v>
      </c>
      <c r="V99" s="4">
        <f>Q99+R99</f>
        <v>0</v>
      </c>
      <c r="W99" s="29">
        <f>100*((J99-MIN($J$2:$J$236))/(MAX($J$2:$J$236)-MIN($J$2:$J$236))+(H99-MIN($H$2:$H$236))/(MAX($H$2:$H$236)-MIN($H$2:$H$236))+(1-(K99-MIN($K$2:$K$236))/(MAX($K$2:$K$236)-MIN($K$2:$K$236))))/3</f>
        <v>67.800314837592</v>
      </c>
      <c r="X99" s="4" t="n">
        <v>3</v>
      </c>
      <c r="Y99" s="4" t="n">
        <v>1</v>
      </c>
      <c r="Z99" s="4" t="n">
        <v>1</v>
      </c>
      <c r="AA99" s="4" t="inlineStr">
        <is>
          <t>No</t>
        </is>
      </c>
      <c r="AB99" s="4" t="str">
        <f>IF(H99&lt;=Complexity!$C$11,"Q1 (lowest)",IF(H99&lt;=Complexity!$C$12,"Q2",IF(H99&lt;=Complexity!$C$13,"Q3","Q4 (highest)")))</f>
        <v>Q4 (highest)</v>
      </c>
      <c r="AC99" s="4" t="str">
        <f>IF(J99&lt;=Churn!$C$11,"Q1 (lowest)",IF(J99&lt;=Churn!$C$12,"Q2",IF(J99&lt;=Churn!$C$13,"Q3","Q4 (highest)")))</f>
        <v>Q4 (highest)</v>
      </c>
      <c r="AD99" s="4" t="str">
        <f>IF(K99&lt;=40,"&lt;=40%",IF(K99&lt;=60,"40-60%",IF(K99&lt;=80,"60-80%","80%+")))</f>
        <v>40-60%</v>
      </c>
      <c r="AE99" s="4" t="str">
        <f>IF(M99&lt;=2,"1-2",IF(M99&lt;=4,"3-4",IF(M99&lt;=6,"5-6","7+")))</f>
        <v>3-4</v>
      </c>
    </row>
    <row r="100">
      <c r="A100" s="4" t="inlineStr">
        <is>
          <t>database_migration</t>
        </is>
      </c>
      <c r="B100" s="4" t="inlineStr">
        <is>
          <t>Database</t>
        </is>
      </c>
      <c r="C100" s="4" t="inlineStr">
        <is>
          <t>C++</t>
        </is>
      </c>
      <c r="D100" s="4" t="inlineStr">
        <is>
          <t>v2.1</t>
        </is>
      </c>
      <c r="E100" s="40" t="n">
        <v>45706</v>
      </c>
      <c r="F100" s="4" t="n">
        <v>4</v>
      </c>
      <c r="G100" s="4" t="n">
        <v>2891</v>
      </c>
      <c r="H100" s="18" t="n">
        <v>18.47</v>
      </c>
      <c r="I100" s="18" t="n">
        <v>10.46</v>
      </c>
      <c r="J100" s="29" t="n">
        <v>242.7</v>
      </c>
      <c r="K100" s="29" t="n">
        <v>57</v>
      </c>
      <c r="L100" s="4" t="n">
        <v>8</v>
      </c>
      <c r="M100" s="4" t="n">
        <v>3</v>
      </c>
      <c r="N100" s="4" t="n">
        <v>435</v>
      </c>
      <c r="O100" s="4" t="n">
        <v>0</v>
      </c>
      <c r="P100" s="4" t="n">
        <v>0</v>
      </c>
      <c r="Q100" s="4" t="n">
        <v>1</v>
      </c>
      <c r="R100" s="4" t="n">
        <v>0</v>
      </c>
      <c r="S100" s="4">
        <f>SUM(O100:R100)</f>
        <v>1</v>
      </c>
      <c r="T100" s="18">
        <f>J100/L100</f>
        <v>30.3375</v>
      </c>
      <c r="U100" s="18">
        <f>S100/G100*1000</f>
        <v>0.345901072293324</v>
      </c>
      <c r="V100" s="4">
        <f>Q100+R100</f>
        <v>1</v>
      </c>
      <c r="W100" s="29">
        <f>100*((J100-MIN($J$2:$J$236))/(MAX($J$2:$J$236)-MIN($J$2:$J$236))+(H100-MIN($H$2:$H$236))/(MAX($H$2:$H$236)-MIN($H$2:$H$236))+(1-(K100-MIN($K$2:$K$236))/(MAX($K$2:$K$236)-MIN($K$2:$K$236))))/3</f>
        <v>41.9105073275059</v>
      </c>
      <c r="X100" s="4" t="n">
        <v>5</v>
      </c>
      <c r="Y100" s="4" t="n">
        <v>1</v>
      </c>
      <c r="Z100" s="4" t="n">
        <v>0</v>
      </c>
      <c r="AA100" s="4" t="inlineStr">
        <is>
          <t>No</t>
        </is>
      </c>
      <c r="AB100" s="4" t="str">
        <f>IF(H100&lt;=Complexity!$C$11,"Q1 (lowest)",IF(H100&lt;=Complexity!$C$12,"Q2",IF(H100&lt;=Complexity!$C$13,"Q3","Q4 (highest)")))</f>
        <v>Q3</v>
      </c>
      <c r="AC100" s="4" t="str">
        <f>IF(J100&lt;=Churn!$C$11,"Q1 (lowest)",IF(J100&lt;=Churn!$C$12,"Q2",IF(J100&lt;=Churn!$C$13,"Q3","Q4 (highest)")))</f>
        <v>Q2</v>
      </c>
      <c r="AD100" s="4" t="str">
        <f>IF(K100&lt;=40,"&lt;=40%",IF(K100&lt;=60,"40-60%",IF(K100&lt;=80,"60-80%","80%+")))</f>
        <v>40-60%</v>
      </c>
      <c r="AE100" s="4" t="str">
        <f>IF(M100&lt;=2,"1-2",IF(M100&lt;=4,"3-4",IF(M100&lt;=6,"5-6","7+")))</f>
        <v>3-4</v>
      </c>
    </row>
    <row r="101">
      <c r="A101" s="4" t="inlineStr">
        <is>
          <t>database_migration</t>
        </is>
      </c>
      <c r="B101" s="4" t="inlineStr">
        <is>
          <t>Database</t>
        </is>
      </c>
      <c r="C101" s="4" t="inlineStr">
        <is>
          <t>C++</t>
        </is>
      </c>
      <c r="D101" s="4" t="inlineStr">
        <is>
          <t>v3.0</t>
        </is>
      </c>
      <c r="E101" s="40" t="n">
        <v>45839</v>
      </c>
      <c r="F101" s="4" t="n">
        <v>5</v>
      </c>
      <c r="G101" s="4" t="n">
        <v>2891</v>
      </c>
      <c r="H101" s="18" t="n">
        <v>17.29</v>
      </c>
      <c r="I101" s="18" t="n">
        <v>12.5</v>
      </c>
      <c r="J101" s="29" t="n">
        <v>150.5</v>
      </c>
      <c r="K101" s="29" t="n">
        <v>54.7</v>
      </c>
      <c r="L101" s="4" t="n">
        <v>7</v>
      </c>
      <c r="M101" s="4" t="n">
        <v>4</v>
      </c>
      <c r="N101" s="4" t="n">
        <v>214</v>
      </c>
      <c r="O101" s="4" t="n">
        <v>2</v>
      </c>
      <c r="P101" s="4" t="n">
        <v>0</v>
      </c>
      <c r="Q101" s="4" t="n">
        <v>0</v>
      </c>
      <c r="R101" s="4" t="n">
        <v>0</v>
      </c>
      <c r="S101" s="4">
        <f>SUM(O101:R101)</f>
        <v>2</v>
      </c>
      <c r="T101" s="18">
        <f>J101/L101</f>
        <v>21.5</v>
      </c>
      <c r="U101" s="18">
        <f>S101/G101*1000</f>
        <v>0.691802144586648</v>
      </c>
      <c r="V101" s="4">
        <f>Q101+R101</f>
        <v>0</v>
      </c>
      <c r="W101" s="29">
        <f>100*((J101-MIN($J$2:$J$236))/(MAX($J$2:$J$236)-MIN($J$2:$J$236))+(H101-MIN($H$2:$H$236))/(MAX($H$2:$H$236)-MIN($H$2:$H$236))+(1-(K101-MIN($K$2:$K$236))/(MAX($K$2:$K$236)-MIN($K$2:$K$236))))/3</f>
        <v>39.1786090355725</v>
      </c>
      <c r="X101" s="4" t="n">
        <v>1</v>
      </c>
      <c r="Y101" s="4" t="n">
        <v>1</v>
      </c>
      <c r="Z101" s="4" t="n">
        <v>0</v>
      </c>
      <c r="AA101" s="4" t="inlineStr">
        <is>
          <t>No</t>
        </is>
      </c>
      <c r="AB101" s="4" t="str">
        <f>IF(H101&lt;=Complexity!$C$11,"Q1 (lowest)",IF(H101&lt;=Complexity!$C$12,"Q2",IF(H101&lt;=Complexity!$C$13,"Q3","Q4 (highest)")))</f>
        <v>Q3</v>
      </c>
      <c r="AC101" s="4" t="str">
        <f>IF(J101&lt;=Churn!$C$11,"Q1 (lowest)",IF(J101&lt;=Churn!$C$12,"Q2",IF(J101&lt;=Churn!$C$13,"Q3","Q4 (highest)")))</f>
        <v>Q1 (lowest)</v>
      </c>
      <c r="AD101" s="4" t="str">
        <f>IF(K101&lt;=40,"&lt;=40%",IF(K101&lt;=60,"40-60%",IF(K101&lt;=80,"60-80%","80%+")))</f>
        <v>40-60%</v>
      </c>
      <c r="AE101" s="4" t="str">
        <f>IF(M101&lt;=2,"1-2",IF(M101&lt;=4,"3-4",IF(M101&lt;=6,"5-6","7+")))</f>
        <v>3-4</v>
      </c>
    </row>
    <row r="102">
      <c r="A102" s="4" t="inlineStr">
        <is>
          <t>database_orm</t>
        </is>
      </c>
      <c r="B102" s="4" t="inlineStr">
        <is>
          <t>Database</t>
        </is>
      </c>
      <c r="C102" s="4" t="inlineStr">
        <is>
          <t>C++</t>
        </is>
      </c>
      <c r="D102" s="4" t="inlineStr">
        <is>
          <t>v1.0</t>
        </is>
      </c>
      <c r="E102" s="40" t="n">
        <v>45306</v>
      </c>
      <c r="F102" s="4" t="n">
        <v>1</v>
      </c>
      <c r="G102" s="4" t="n">
        <v>1226</v>
      </c>
      <c r="H102" s="18" t="n">
        <v>16.65</v>
      </c>
      <c r="I102" s="18" t="n">
        <v>9.9</v>
      </c>
      <c r="J102" s="29" t="n">
        <v>343.1</v>
      </c>
      <c r="K102" s="29" t="n">
        <v>97.40000000000001</v>
      </c>
      <c r="L102" s="4" t="n">
        <v>8</v>
      </c>
      <c r="M102" s="4" t="n">
        <v>4</v>
      </c>
      <c r="N102" s="4" t="n">
        <v>387</v>
      </c>
      <c r="O102" s="4" t="n">
        <v>0</v>
      </c>
      <c r="P102" s="4" t="n">
        <v>1</v>
      </c>
      <c r="Q102" s="4" t="n">
        <v>0</v>
      </c>
      <c r="R102" s="4" t="n">
        <v>0</v>
      </c>
      <c r="S102" s="4">
        <f>SUM(O102:R102)</f>
        <v>1</v>
      </c>
      <c r="T102" s="18">
        <f>J102/L102</f>
        <v>42.8875</v>
      </c>
      <c r="U102" s="18">
        <f>S102/G102*1000</f>
        <v>0.815660685154976</v>
      </c>
      <c r="V102" s="4">
        <f>Q102+R102</f>
        <v>0</v>
      </c>
      <c r="W102" s="29">
        <f>100*((J102-MIN($J$2:$J$236))/(MAX($J$2:$J$236)-MIN($J$2:$J$236))+(H102-MIN($H$2:$H$236))/(MAX($H$2:$H$236)-MIN($H$2:$H$236))+(1-(K102-MIN($K$2:$K$236))/(MAX($K$2:$K$236)-MIN($K$2:$K$236))))/3</f>
        <v>24.3090674025358</v>
      </c>
      <c r="X102" s="4" t="n">
        <v>0</v>
      </c>
      <c r="Y102" s="4" t="n">
        <v>1</v>
      </c>
      <c r="Z102" s="4" t="n">
        <v>0</v>
      </c>
      <c r="AA102" s="4" t="inlineStr">
        <is>
          <t>No</t>
        </is>
      </c>
      <c r="AB102" s="4" t="str">
        <f>IF(H102&lt;=Complexity!$C$11,"Q1 (lowest)",IF(H102&lt;=Complexity!$C$12,"Q2",IF(H102&lt;=Complexity!$C$13,"Q3","Q4 (highest)")))</f>
        <v>Q3</v>
      </c>
      <c r="AC102" s="4" t="str">
        <f>IF(J102&lt;=Churn!$C$11,"Q1 (lowest)",IF(J102&lt;=Churn!$C$12,"Q2",IF(J102&lt;=Churn!$C$13,"Q3","Q4 (highest)")))</f>
        <v>Q3</v>
      </c>
      <c r="AD102" s="4" t="str">
        <f>IF(K102&lt;=40,"&lt;=40%",IF(K102&lt;=60,"40-60%",IF(K102&lt;=80,"60-80%","80%+")))</f>
        <v>80%+</v>
      </c>
      <c r="AE102" s="4" t="str">
        <f>IF(M102&lt;=2,"1-2",IF(M102&lt;=4,"3-4",IF(M102&lt;=6,"5-6","7+")))</f>
        <v>3-4</v>
      </c>
    </row>
    <row r="103">
      <c r="A103" s="4" t="inlineStr">
        <is>
          <t>database_orm</t>
        </is>
      </c>
      <c r="B103" s="4" t="inlineStr">
        <is>
          <t>Database</t>
        </is>
      </c>
      <c r="C103" s="4" t="inlineStr">
        <is>
          <t>C++</t>
        </is>
      </c>
      <c r="D103" s="4" t="inlineStr">
        <is>
          <t>v1.1</t>
        </is>
      </c>
      <c r="E103" s="40" t="n">
        <v>45432</v>
      </c>
      <c r="F103" s="4" t="n">
        <v>2</v>
      </c>
      <c r="G103" s="4" t="n">
        <v>1226</v>
      </c>
      <c r="H103" s="18" t="n">
        <v>16.96</v>
      </c>
      <c r="I103" s="18" t="n">
        <v>11.13</v>
      </c>
      <c r="J103" s="29" t="n">
        <v>340.7</v>
      </c>
      <c r="K103" s="29" t="n">
        <v>98</v>
      </c>
      <c r="L103" s="4" t="n">
        <v>10</v>
      </c>
      <c r="M103" s="4" t="n">
        <v>3</v>
      </c>
      <c r="N103" s="4" t="n">
        <v>549</v>
      </c>
      <c r="O103" s="4" t="n">
        <v>0</v>
      </c>
      <c r="P103" s="4" t="n">
        <v>1</v>
      </c>
      <c r="Q103" s="4" t="n">
        <v>0</v>
      </c>
      <c r="R103" s="4" t="n">
        <v>0</v>
      </c>
      <c r="S103" s="4">
        <f>SUM(O103:R103)</f>
        <v>1</v>
      </c>
      <c r="T103" s="18">
        <f>J103/L103</f>
        <v>34.07</v>
      </c>
      <c r="U103" s="18">
        <f>S103/G103*1000</f>
        <v>0.815660685154976</v>
      </c>
      <c r="V103" s="4">
        <f>Q103+R103</f>
        <v>0</v>
      </c>
      <c r="W103" s="29">
        <f>100*((J103-MIN($J$2:$J$236))/(MAX($J$2:$J$236)-MIN($J$2:$J$236))+(H103-MIN($H$2:$H$236))/(MAX($H$2:$H$236)-MIN($H$2:$H$236))+(1-(K103-MIN($K$2:$K$236))/(MAX($K$2:$K$236)-MIN($K$2:$K$236))))/3</f>
        <v>24.2987509315053</v>
      </c>
      <c r="X103" s="4" t="n">
        <v>1</v>
      </c>
      <c r="Y103" s="4" t="n">
        <v>1</v>
      </c>
      <c r="Z103" s="4" t="n">
        <v>0</v>
      </c>
      <c r="AA103" s="4" t="inlineStr">
        <is>
          <t>No</t>
        </is>
      </c>
      <c r="AB103" s="4" t="str">
        <f>IF(H103&lt;=Complexity!$C$11,"Q1 (lowest)",IF(H103&lt;=Complexity!$C$12,"Q2",IF(H103&lt;=Complexity!$C$13,"Q3","Q4 (highest)")))</f>
        <v>Q3</v>
      </c>
      <c r="AC103" s="4" t="str">
        <f>IF(J103&lt;=Churn!$C$11,"Q1 (lowest)",IF(J103&lt;=Churn!$C$12,"Q2",IF(J103&lt;=Churn!$C$13,"Q3","Q4 (highest)")))</f>
        <v>Q3</v>
      </c>
      <c r="AD103" s="4" t="str">
        <f>IF(K103&lt;=40,"&lt;=40%",IF(K103&lt;=60,"40-60%",IF(K103&lt;=80,"60-80%","80%+")))</f>
        <v>80%+</v>
      </c>
      <c r="AE103" s="4" t="str">
        <f>IF(M103&lt;=2,"1-2",IF(M103&lt;=4,"3-4",IF(M103&lt;=6,"5-6","7+")))</f>
        <v>3-4</v>
      </c>
    </row>
    <row r="104">
      <c r="A104" s="4" t="inlineStr">
        <is>
          <t>database_orm</t>
        </is>
      </c>
      <c r="B104" s="4" t="inlineStr">
        <is>
          <t>Database</t>
        </is>
      </c>
      <c r="C104" s="4" t="inlineStr">
        <is>
          <t>C++</t>
        </is>
      </c>
      <c r="D104" s="4" t="inlineStr">
        <is>
          <t>v2.0</t>
        </is>
      </c>
      <c r="E104" s="40" t="n">
        <v>45545</v>
      </c>
      <c r="F104" s="4" t="n">
        <v>3</v>
      </c>
      <c r="G104" s="4" t="n">
        <v>1226</v>
      </c>
      <c r="H104" s="18" t="n">
        <v>16.53</v>
      </c>
      <c r="I104" s="18" t="n">
        <v>10.68</v>
      </c>
      <c r="J104" s="29" t="n">
        <v>457.8</v>
      </c>
      <c r="K104" s="29" t="n">
        <v>98</v>
      </c>
      <c r="L104" s="4" t="n">
        <v>20</v>
      </c>
      <c r="M104" s="4" t="n">
        <v>4</v>
      </c>
      <c r="N104" s="4" t="n">
        <v>812</v>
      </c>
      <c r="O104" s="4" t="n">
        <v>0</v>
      </c>
      <c r="P104" s="4" t="n">
        <v>0</v>
      </c>
      <c r="Q104" s="4" t="n">
        <v>0</v>
      </c>
      <c r="R104" s="4" t="n">
        <v>0</v>
      </c>
      <c r="S104" s="4">
        <f>SUM(O104:R104)</f>
        <v>0</v>
      </c>
      <c r="T104" s="18">
        <f>J104/L104</f>
        <v>22.89</v>
      </c>
      <c r="U104" s="18">
        <f>S104/G104*1000</f>
        <v>0</v>
      </c>
      <c r="V104" s="4">
        <f>Q104+R104</f>
        <v>0</v>
      </c>
      <c r="W104" s="29">
        <f>100*((J104-MIN($J$2:$J$236))/(MAX($J$2:$J$236)-MIN($J$2:$J$236))+(H104-MIN($H$2:$H$236))/(MAX($H$2:$H$236)-MIN($H$2:$H$236))+(1-(K104-MIN($K$2:$K$236))/(MAX($K$2:$K$236)-MIN($K$2:$K$236))))/3</f>
        <v>27.0530455486228</v>
      </c>
      <c r="X104" s="4" t="n">
        <v>1</v>
      </c>
      <c r="Y104" s="4" t="n">
        <v>1</v>
      </c>
      <c r="Z104" s="4" t="n">
        <v>0</v>
      </c>
      <c r="AA104" s="4" t="inlineStr">
        <is>
          <t>No</t>
        </is>
      </c>
      <c r="AB104" s="4" t="str">
        <f>IF(H104&lt;=Complexity!$C$11,"Q1 (lowest)",IF(H104&lt;=Complexity!$C$12,"Q2",IF(H104&lt;=Complexity!$C$13,"Q3","Q4 (highest)")))</f>
        <v>Q3</v>
      </c>
      <c r="AC104" s="4" t="str">
        <f>IF(J104&lt;=Churn!$C$11,"Q1 (lowest)",IF(J104&lt;=Churn!$C$12,"Q2",IF(J104&lt;=Churn!$C$13,"Q3","Q4 (highest)")))</f>
        <v>Q4 (highest)</v>
      </c>
      <c r="AD104" s="4" t="str">
        <f>IF(K104&lt;=40,"&lt;=40%",IF(K104&lt;=60,"40-60%",IF(K104&lt;=80,"60-80%","80%+")))</f>
        <v>80%+</v>
      </c>
      <c r="AE104" s="4" t="str">
        <f>IF(M104&lt;=2,"1-2",IF(M104&lt;=4,"3-4",IF(M104&lt;=6,"5-6","7+")))</f>
        <v>3-4</v>
      </c>
    </row>
    <row r="105">
      <c r="A105" s="4" t="inlineStr">
        <is>
          <t>database_orm</t>
        </is>
      </c>
      <c r="B105" s="4" t="inlineStr">
        <is>
          <t>Database</t>
        </is>
      </c>
      <c r="C105" s="4" t="inlineStr">
        <is>
          <t>C++</t>
        </is>
      </c>
      <c r="D105" s="4" t="inlineStr">
        <is>
          <t>v2.1</t>
        </is>
      </c>
      <c r="E105" s="40" t="n">
        <v>45706</v>
      </c>
      <c r="F105" s="4" t="n">
        <v>4</v>
      </c>
      <c r="G105" s="4" t="n">
        <v>1226</v>
      </c>
      <c r="H105" s="18" t="n">
        <v>21.03</v>
      </c>
      <c r="I105" s="18" t="n">
        <v>15.38</v>
      </c>
      <c r="J105" s="29" t="n">
        <v>338.3</v>
      </c>
      <c r="K105" s="29" t="n">
        <v>98</v>
      </c>
      <c r="L105" s="4" t="n">
        <v>9</v>
      </c>
      <c r="M105" s="4" t="n">
        <v>3</v>
      </c>
      <c r="N105" s="4" t="n">
        <v>500</v>
      </c>
      <c r="O105" s="4" t="n">
        <v>2</v>
      </c>
      <c r="P105" s="4" t="n">
        <v>0</v>
      </c>
      <c r="Q105" s="4" t="n">
        <v>1</v>
      </c>
      <c r="R105" s="4" t="n">
        <v>0</v>
      </c>
      <c r="S105" s="4">
        <f>SUM(O105:R105)</f>
        <v>3</v>
      </c>
      <c r="T105" s="18">
        <f>J105/L105</f>
        <v>37.5888888888889</v>
      </c>
      <c r="U105" s="18">
        <f>S105/G105*1000</f>
        <v>2.44698205546493</v>
      </c>
      <c r="V105" s="4">
        <f>Q105+R105</f>
        <v>1</v>
      </c>
      <c r="W105" s="29">
        <f>100*((J105-MIN($J$2:$J$236))/(MAX($J$2:$J$236)-MIN($J$2:$J$236))+(H105-MIN($H$2:$H$236))/(MAX($H$2:$H$236)-MIN($H$2:$H$236))+(1-(K105-MIN($K$2:$K$236))/(MAX($K$2:$K$236)-MIN($K$2:$K$236))))/3</f>
        <v>28.5535397026902</v>
      </c>
      <c r="X105" s="4" t="n">
        <v>0</v>
      </c>
      <c r="Y105" s="4" t="n">
        <v>1</v>
      </c>
      <c r="Z105" s="4" t="n">
        <v>1</v>
      </c>
      <c r="AA105" s="4" t="inlineStr">
        <is>
          <t>No</t>
        </is>
      </c>
      <c r="AB105" s="4" t="str">
        <f>IF(H105&lt;=Complexity!$C$11,"Q1 (lowest)",IF(H105&lt;=Complexity!$C$12,"Q2",IF(H105&lt;=Complexity!$C$13,"Q3","Q4 (highest)")))</f>
        <v>Q4 (highest)</v>
      </c>
      <c r="AC105" s="4" t="str">
        <f>IF(J105&lt;=Churn!$C$11,"Q1 (lowest)",IF(J105&lt;=Churn!$C$12,"Q2",IF(J105&lt;=Churn!$C$13,"Q3","Q4 (highest)")))</f>
        <v>Q3</v>
      </c>
      <c r="AD105" s="4" t="str">
        <f>IF(K105&lt;=40,"&lt;=40%",IF(K105&lt;=60,"40-60%",IF(K105&lt;=80,"60-80%","80%+")))</f>
        <v>80%+</v>
      </c>
      <c r="AE105" s="4" t="str">
        <f>IF(M105&lt;=2,"1-2",IF(M105&lt;=4,"3-4",IF(M105&lt;=6,"5-6","7+")))</f>
        <v>3-4</v>
      </c>
    </row>
    <row r="106">
      <c r="A106" s="4" t="inlineStr">
        <is>
          <t>database_orm</t>
        </is>
      </c>
      <c r="B106" s="4" t="inlineStr">
        <is>
          <t>Database</t>
        </is>
      </c>
      <c r="C106" s="4" t="inlineStr">
        <is>
          <t>C++</t>
        </is>
      </c>
      <c r="D106" s="4" t="inlineStr">
        <is>
          <t>v3.0</t>
        </is>
      </c>
      <c r="E106" s="40" t="n">
        <v>45839</v>
      </c>
      <c r="F106" s="4" t="n">
        <v>5</v>
      </c>
      <c r="G106" s="4" t="n">
        <v>1226</v>
      </c>
      <c r="H106" s="18" t="n">
        <v>16.34</v>
      </c>
      <c r="I106" s="18" t="n">
        <v>11.02</v>
      </c>
      <c r="J106" s="29" t="n">
        <v>57.1</v>
      </c>
      <c r="K106" s="29" t="n">
        <v>98</v>
      </c>
      <c r="L106" s="4" t="n">
        <v>2</v>
      </c>
      <c r="M106" s="4" t="n">
        <v>2</v>
      </c>
      <c r="N106" s="4" t="n">
        <v>80</v>
      </c>
      <c r="O106" s="4" t="n">
        <v>1</v>
      </c>
      <c r="P106" s="4" t="n">
        <v>0</v>
      </c>
      <c r="Q106" s="4" t="n">
        <v>0</v>
      </c>
      <c r="R106" s="4" t="n">
        <v>0</v>
      </c>
      <c r="S106" s="4">
        <f>SUM(O106:R106)</f>
        <v>1</v>
      </c>
      <c r="T106" s="18">
        <f>J106/L106</f>
        <v>28.55</v>
      </c>
      <c r="U106" s="18">
        <f>S106/G106*1000</f>
        <v>0.815660685154976</v>
      </c>
      <c r="V106" s="4">
        <f>Q106+R106</f>
        <v>0</v>
      </c>
      <c r="W106" s="29">
        <f>100*((J106-MIN($J$2:$J$236))/(MAX($J$2:$J$236)-MIN($J$2:$J$236))+(H106-MIN($H$2:$H$236))/(MAX($H$2:$H$236)-MIN($H$2:$H$236))+(1-(K106-MIN($K$2:$K$236))/(MAX($K$2:$K$236)-MIN($K$2:$K$236))))/3</f>
        <v>15.8645355955967</v>
      </c>
      <c r="X106" s="4" t="n">
        <v>3</v>
      </c>
      <c r="Y106" s="4" t="n">
        <v>1</v>
      </c>
      <c r="Z106" s="4" t="n">
        <v>0</v>
      </c>
      <c r="AA106" s="4" t="inlineStr">
        <is>
          <t>No</t>
        </is>
      </c>
      <c r="AB106" s="4" t="str">
        <f>IF(H106&lt;=Complexity!$C$11,"Q1 (lowest)",IF(H106&lt;=Complexity!$C$12,"Q2",IF(H106&lt;=Complexity!$C$13,"Q3","Q4 (highest)")))</f>
        <v>Q3</v>
      </c>
      <c r="AC106" s="4" t="str">
        <f>IF(J106&lt;=Churn!$C$11,"Q1 (lowest)",IF(J106&lt;=Churn!$C$12,"Q2",IF(J106&lt;=Churn!$C$13,"Q3","Q4 (highest)")))</f>
        <v>Q1 (lowest)</v>
      </c>
      <c r="AD106" s="4" t="str">
        <f>IF(K106&lt;=40,"&lt;=40%",IF(K106&lt;=60,"40-60%",IF(K106&lt;=80,"60-80%","80%+")))</f>
        <v>80%+</v>
      </c>
      <c r="AE106" s="4" t="str">
        <f>IF(M106&lt;=2,"1-2",IF(M106&lt;=4,"3-4",IF(M106&lt;=6,"5-6","7+")))</f>
        <v>1-2</v>
      </c>
    </row>
    <row r="107">
      <c r="A107" s="4" t="inlineStr">
        <is>
          <t>database_pool</t>
        </is>
      </c>
      <c r="B107" s="4" t="inlineStr">
        <is>
          <t>Database</t>
        </is>
      </c>
      <c r="C107" s="4" t="inlineStr">
        <is>
          <t>C++</t>
        </is>
      </c>
      <c r="D107" s="4" t="inlineStr">
        <is>
          <t>v1.0</t>
        </is>
      </c>
      <c r="E107" s="40" t="n">
        <v>45306</v>
      </c>
      <c r="F107" s="4" t="n">
        <v>1</v>
      </c>
      <c r="G107" s="4" t="n">
        <v>3121</v>
      </c>
      <c r="H107" s="18" t="n">
        <v>12.06</v>
      </c>
      <c r="I107" s="18" t="n">
        <v>11.96</v>
      </c>
      <c r="J107" s="29" t="n">
        <v>81</v>
      </c>
      <c r="K107" s="29" t="n">
        <v>75.5</v>
      </c>
      <c r="L107" s="4" t="n">
        <v>3</v>
      </c>
      <c r="M107" s="4" t="n">
        <v>2</v>
      </c>
      <c r="N107" s="4" t="n">
        <v>140</v>
      </c>
      <c r="O107" s="4" t="n">
        <v>1</v>
      </c>
      <c r="P107" s="4" t="n">
        <v>0</v>
      </c>
      <c r="Q107" s="4" t="n">
        <v>0</v>
      </c>
      <c r="R107" s="4" t="n">
        <v>0</v>
      </c>
      <c r="S107" s="4">
        <f>SUM(O107:R107)</f>
        <v>1</v>
      </c>
      <c r="T107" s="18">
        <f>J107/L107</f>
        <v>27</v>
      </c>
      <c r="U107" s="18">
        <f>S107/G107*1000</f>
        <v>0.320410124959949</v>
      </c>
      <c r="V107" s="4">
        <f>Q107+R107</f>
        <v>0</v>
      </c>
      <c r="W107" s="29">
        <f>100*((J107-MIN($J$2:$J$236))/(MAX($J$2:$J$236)-MIN($J$2:$J$236))+(H107-MIN($H$2:$H$236))/(MAX($H$2:$H$236)-MIN($H$2:$H$236))+(1-(K107-MIN($K$2:$K$236))/(MAX($K$2:$K$236)-MIN($K$2:$K$236))))/3</f>
        <v>22.2362442820428</v>
      </c>
      <c r="X107" s="4" t="n">
        <v>0</v>
      </c>
      <c r="Y107" s="4" t="n">
        <v>0</v>
      </c>
      <c r="Z107" s="4" t="n">
        <v>0</v>
      </c>
      <c r="AA107" s="4" t="inlineStr">
        <is>
          <t>No</t>
        </is>
      </c>
      <c r="AB107" s="4" t="str">
        <f>IF(H107&lt;=Complexity!$C$11,"Q1 (lowest)",IF(H107&lt;=Complexity!$C$12,"Q2",IF(H107&lt;=Complexity!$C$13,"Q3","Q4 (highest)")))</f>
        <v>Q2</v>
      </c>
      <c r="AC107" s="4" t="str">
        <f>IF(J107&lt;=Churn!$C$11,"Q1 (lowest)",IF(J107&lt;=Churn!$C$12,"Q2",IF(J107&lt;=Churn!$C$13,"Q3","Q4 (highest)")))</f>
        <v>Q1 (lowest)</v>
      </c>
      <c r="AD107" s="4" t="str">
        <f>IF(K107&lt;=40,"&lt;=40%",IF(K107&lt;=60,"40-60%",IF(K107&lt;=80,"60-80%","80%+")))</f>
        <v>60-80%</v>
      </c>
      <c r="AE107" s="4" t="str">
        <f>IF(M107&lt;=2,"1-2",IF(M107&lt;=4,"3-4",IF(M107&lt;=6,"5-6","7+")))</f>
        <v>1-2</v>
      </c>
    </row>
    <row r="108">
      <c r="A108" s="4" t="inlineStr">
        <is>
          <t>database_pool</t>
        </is>
      </c>
      <c r="B108" s="4" t="inlineStr">
        <is>
          <t>Database</t>
        </is>
      </c>
      <c r="C108" s="4" t="inlineStr">
        <is>
          <t>C++</t>
        </is>
      </c>
      <c r="D108" s="4" t="inlineStr">
        <is>
          <t>v1.1</t>
        </is>
      </c>
      <c r="E108" s="40" t="n">
        <v>45432</v>
      </c>
      <c r="F108" s="4" t="n">
        <v>2</v>
      </c>
      <c r="G108" s="4" t="n">
        <v>3121</v>
      </c>
      <c r="H108" s="18" t="n">
        <v>7.9</v>
      </c>
      <c r="I108" s="18" t="n">
        <v>7.47</v>
      </c>
      <c r="J108" s="29" t="n">
        <v>274.1</v>
      </c>
      <c r="K108" s="29" t="n">
        <v>70.5</v>
      </c>
      <c r="L108" s="4" t="n">
        <v>11</v>
      </c>
      <c r="M108" s="4" t="n">
        <v>4</v>
      </c>
      <c r="N108" s="4" t="n">
        <v>378</v>
      </c>
      <c r="O108" s="4" t="n">
        <v>0</v>
      </c>
      <c r="P108" s="4" t="n">
        <v>0</v>
      </c>
      <c r="Q108" s="4" t="n">
        <v>0</v>
      </c>
      <c r="R108" s="4" t="n">
        <v>0</v>
      </c>
      <c r="S108" s="4">
        <f>SUM(O108:R108)</f>
        <v>0</v>
      </c>
      <c r="T108" s="18">
        <f>J108/L108</f>
        <v>24.9181818181818</v>
      </c>
      <c r="U108" s="18">
        <f>S108/G108*1000</f>
        <v>0</v>
      </c>
      <c r="V108" s="4">
        <f>Q108+R108</f>
        <v>0</v>
      </c>
      <c r="W108" s="29">
        <f>100*((J108-MIN($J$2:$J$236))/(MAX($J$2:$J$236)-MIN($J$2:$J$236))+(H108-MIN($H$2:$H$236))/(MAX($H$2:$H$236)-MIN($H$2:$H$236))+(1-(K108-MIN($K$2:$K$236))/(MAX($K$2:$K$236)-MIN($K$2:$K$236))))/3</f>
        <v>25.3947078024984</v>
      </c>
      <c r="X108" s="4" t="n">
        <v>1</v>
      </c>
      <c r="Y108" s="4" t="n">
        <v>0</v>
      </c>
      <c r="Z108" s="4" t="n">
        <v>0</v>
      </c>
      <c r="AA108" s="4" t="inlineStr">
        <is>
          <t>No</t>
        </is>
      </c>
      <c r="AB108" s="4" t="str">
        <f>IF(H108&lt;=Complexity!$C$11,"Q1 (lowest)",IF(H108&lt;=Complexity!$C$12,"Q2",IF(H108&lt;=Complexity!$C$13,"Q3","Q4 (highest)")))</f>
        <v>Q1 (lowest)</v>
      </c>
      <c r="AC108" s="4" t="str">
        <f>IF(J108&lt;=Churn!$C$11,"Q1 (lowest)",IF(J108&lt;=Churn!$C$12,"Q2",IF(J108&lt;=Churn!$C$13,"Q3","Q4 (highest)")))</f>
        <v>Q2</v>
      </c>
      <c r="AD108" s="4" t="str">
        <f>IF(K108&lt;=40,"&lt;=40%",IF(K108&lt;=60,"40-60%",IF(K108&lt;=80,"60-80%","80%+")))</f>
        <v>60-80%</v>
      </c>
      <c r="AE108" s="4" t="str">
        <f>IF(M108&lt;=2,"1-2",IF(M108&lt;=4,"3-4",IF(M108&lt;=6,"5-6","7+")))</f>
        <v>3-4</v>
      </c>
    </row>
    <row r="109">
      <c r="A109" s="4" t="inlineStr">
        <is>
          <t>database_pool</t>
        </is>
      </c>
      <c r="B109" s="4" t="inlineStr">
        <is>
          <t>Database</t>
        </is>
      </c>
      <c r="C109" s="4" t="inlineStr">
        <is>
          <t>C++</t>
        </is>
      </c>
      <c r="D109" s="4" t="inlineStr">
        <is>
          <t>v2.0</t>
        </is>
      </c>
      <c r="E109" s="40" t="n">
        <v>45545</v>
      </c>
      <c r="F109" s="4" t="n">
        <v>3</v>
      </c>
      <c r="G109" s="4" t="n">
        <v>3121</v>
      </c>
      <c r="H109" s="18" t="n">
        <v>10.39</v>
      </c>
      <c r="I109" s="18" t="n">
        <v>8.77</v>
      </c>
      <c r="J109" s="29" t="n">
        <v>419.1</v>
      </c>
      <c r="K109" s="29" t="n">
        <v>68.5</v>
      </c>
      <c r="L109" s="4" t="n">
        <v>11</v>
      </c>
      <c r="M109" s="4" t="n">
        <v>4</v>
      </c>
      <c r="N109" s="4" t="n">
        <v>527</v>
      </c>
      <c r="O109" s="4" t="n">
        <v>0</v>
      </c>
      <c r="P109" s="4" t="n">
        <v>0</v>
      </c>
      <c r="Q109" s="4" t="n">
        <v>0</v>
      </c>
      <c r="R109" s="4" t="n">
        <v>0</v>
      </c>
      <c r="S109" s="4">
        <f>SUM(O109:R109)</f>
        <v>0</v>
      </c>
      <c r="T109" s="18">
        <f>J109/L109</f>
        <v>38.1</v>
      </c>
      <c r="U109" s="18">
        <f>S109/G109*1000</f>
        <v>0</v>
      </c>
      <c r="V109" s="4">
        <f>Q109+R109</f>
        <v>0</v>
      </c>
      <c r="W109" s="29">
        <f>100*((J109-MIN($J$2:$J$236))/(MAX($J$2:$J$236)-MIN($J$2:$J$236))+(H109-MIN($H$2:$H$236))/(MAX($H$2:$H$236)-MIN($H$2:$H$236))+(1-(K109-MIN($K$2:$K$236))/(MAX($K$2:$K$236)-MIN($K$2:$K$236))))/3</f>
        <v>32.9257741724499</v>
      </c>
      <c r="X109" s="4" t="n">
        <v>0</v>
      </c>
      <c r="Y109" s="4" t="n">
        <v>0</v>
      </c>
      <c r="Z109" s="4" t="n">
        <v>0</v>
      </c>
      <c r="AA109" s="4" t="inlineStr">
        <is>
          <t>No</t>
        </is>
      </c>
      <c r="AB109" s="4" t="str">
        <f>IF(H109&lt;=Complexity!$C$11,"Q1 (lowest)",IF(H109&lt;=Complexity!$C$12,"Q2",IF(H109&lt;=Complexity!$C$13,"Q3","Q4 (highest)")))</f>
        <v>Q1 (lowest)</v>
      </c>
      <c r="AC109" s="4" t="str">
        <f>IF(J109&lt;=Churn!$C$11,"Q1 (lowest)",IF(J109&lt;=Churn!$C$12,"Q2",IF(J109&lt;=Churn!$C$13,"Q3","Q4 (highest)")))</f>
        <v>Q4 (highest)</v>
      </c>
      <c r="AD109" s="4" t="str">
        <f>IF(K109&lt;=40,"&lt;=40%",IF(K109&lt;=60,"40-60%",IF(K109&lt;=80,"60-80%","80%+")))</f>
        <v>60-80%</v>
      </c>
      <c r="AE109" s="4" t="str">
        <f>IF(M109&lt;=2,"1-2",IF(M109&lt;=4,"3-4",IF(M109&lt;=6,"5-6","7+")))</f>
        <v>3-4</v>
      </c>
    </row>
    <row r="110">
      <c r="A110" s="4" t="inlineStr">
        <is>
          <t>database_pool</t>
        </is>
      </c>
      <c r="B110" s="4" t="inlineStr">
        <is>
          <t>Database</t>
        </is>
      </c>
      <c r="C110" s="4" t="inlineStr">
        <is>
          <t>C++</t>
        </is>
      </c>
      <c r="D110" s="4" t="inlineStr">
        <is>
          <t>v2.1</t>
        </is>
      </c>
      <c r="E110" s="40" t="n">
        <v>45706</v>
      </c>
      <c r="F110" s="4" t="n">
        <v>4</v>
      </c>
      <c r="G110" s="4" t="n">
        <v>3121</v>
      </c>
      <c r="H110" s="18" t="n">
        <v>11.9</v>
      </c>
      <c r="I110" s="18" t="n">
        <v>6.91</v>
      </c>
      <c r="J110" s="29" t="n">
        <v>177.55</v>
      </c>
      <c r="K110" s="29" t="n">
        <v>67.2</v>
      </c>
      <c r="L110" s="4" t="n">
        <v>3</v>
      </c>
      <c r="M110" s="4" t="n">
        <v>2</v>
      </c>
      <c r="N110" s="4" t="n">
        <v>223</v>
      </c>
      <c r="O110" s="4" t="n">
        <v>0</v>
      </c>
      <c r="P110" s="4" t="n">
        <v>0</v>
      </c>
      <c r="Q110" s="4" t="n">
        <v>0</v>
      </c>
      <c r="R110" s="4" t="n">
        <v>0</v>
      </c>
      <c r="S110" s="4">
        <f>SUM(O110:R110)</f>
        <v>0</v>
      </c>
      <c r="T110" s="18">
        <f>J110/L110</f>
        <v>59.1833333333333</v>
      </c>
      <c r="U110" s="18">
        <f>S110/G110*1000</f>
        <v>0</v>
      </c>
      <c r="V110" s="4">
        <f>Q110+R110</f>
        <v>0</v>
      </c>
      <c r="W110" s="29">
        <f>100*((J110-MIN($J$2:$J$236))/(MAX($J$2:$J$236)-MIN($J$2:$J$236))+(H110-MIN($H$2:$H$236))/(MAX($H$2:$H$236)-MIN($H$2:$H$236))+(1-(K110-MIN($K$2:$K$236))/(MAX($K$2:$K$236)-MIN($K$2:$K$236))))/3</f>
        <v>28.4984714445494</v>
      </c>
      <c r="X110" s="4" t="n">
        <v>0</v>
      </c>
      <c r="Y110" s="4" t="n">
        <v>0</v>
      </c>
      <c r="Z110" s="4" t="n">
        <v>0</v>
      </c>
      <c r="AA110" s="4" t="inlineStr">
        <is>
          <t>No</t>
        </is>
      </c>
      <c r="AB110" s="4" t="str">
        <f>IF(H110&lt;=Complexity!$C$11,"Q1 (lowest)",IF(H110&lt;=Complexity!$C$12,"Q2",IF(H110&lt;=Complexity!$C$13,"Q3","Q4 (highest)")))</f>
        <v>Q2</v>
      </c>
      <c r="AC110" s="4" t="str">
        <f>IF(J110&lt;=Churn!$C$11,"Q1 (lowest)",IF(J110&lt;=Churn!$C$12,"Q2",IF(J110&lt;=Churn!$C$13,"Q3","Q4 (highest)")))</f>
        <v>Q2</v>
      </c>
      <c r="AD110" s="4" t="str">
        <f>IF(K110&lt;=40,"&lt;=40%",IF(K110&lt;=60,"40-60%",IF(K110&lt;=80,"60-80%","80%+")))</f>
        <v>60-80%</v>
      </c>
      <c r="AE110" s="4" t="str">
        <f>IF(M110&lt;=2,"1-2",IF(M110&lt;=4,"3-4",IF(M110&lt;=6,"5-6","7+")))</f>
        <v>1-2</v>
      </c>
    </row>
    <row r="111">
      <c r="A111" s="4" t="inlineStr">
        <is>
          <t>database_pool</t>
        </is>
      </c>
      <c r="B111" s="4" t="inlineStr">
        <is>
          <t>Database</t>
        </is>
      </c>
      <c r="C111" s="4" t="inlineStr">
        <is>
          <t>C++</t>
        </is>
      </c>
      <c r="D111" s="4" t="inlineStr">
        <is>
          <t>v3.0</t>
        </is>
      </c>
      <c r="E111" s="40" t="n">
        <v>45839</v>
      </c>
      <c r="F111" s="4" t="n">
        <v>5</v>
      </c>
      <c r="G111" s="4" t="n">
        <v>3121</v>
      </c>
      <c r="H111" s="18" t="n">
        <v>8.69</v>
      </c>
      <c r="I111" s="18" t="n">
        <v>7.5</v>
      </c>
      <c r="J111" s="29" t="n">
        <v>77.09999999999999</v>
      </c>
      <c r="K111" s="29" t="n">
        <v>52.9</v>
      </c>
      <c r="L111" s="4" t="n">
        <v>3</v>
      </c>
      <c r="M111" s="4" t="n">
        <v>2</v>
      </c>
      <c r="N111" s="4" t="n">
        <v>111</v>
      </c>
      <c r="O111" s="4" t="n">
        <v>0</v>
      </c>
      <c r="P111" s="4" t="n">
        <v>0</v>
      </c>
      <c r="Q111" s="4" t="n">
        <v>0</v>
      </c>
      <c r="R111" s="4" t="n">
        <v>0</v>
      </c>
      <c r="S111" s="4">
        <f>SUM(O111:R111)</f>
        <v>0</v>
      </c>
      <c r="T111" s="18">
        <f>J111/L111</f>
        <v>25.7</v>
      </c>
      <c r="U111" s="18">
        <f>S111/G111*1000</f>
        <v>0</v>
      </c>
      <c r="V111" s="4">
        <f>Q111+R111</f>
        <v>0</v>
      </c>
      <c r="W111" s="29">
        <f>100*((J111-MIN($J$2:$J$236))/(MAX($J$2:$J$236)-MIN($J$2:$J$236))+(H111-MIN($H$2:$H$236))/(MAX($H$2:$H$236)-MIN($H$2:$H$236))+(1-(K111-MIN($K$2:$K$236))/(MAX($K$2:$K$236)-MIN($K$2:$K$236))))/3</f>
        <v>28.8573328692095</v>
      </c>
      <c r="X111" s="4" t="n">
        <v>0</v>
      </c>
      <c r="Y111" s="4" t="n">
        <v>0</v>
      </c>
      <c r="Z111" s="4" t="n">
        <v>0</v>
      </c>
      <c r="AA111" s="4" t="inlineStr">
        <is>
          <t>No</t>
        </is>
      </c>
      <c r="AB111" s="4" t="str">
        <f>IF(H111&lt;=Complexity!$C$11,"Q1 (lowest)",IF(H111&lt;=Complexity!$C$12,"Q2",IF(H111&lt;=Complexity!$C$13,"Q3","Q4 (highest)")))</f>
        <v>Q1 (lowest)</v>
      </c>
      <c r="AC111" s="4" t="str">
        <f>IF(J111&lt;=Churn!$C$11,"Q1 (lowest)",IF(J111&lt;=Churn!$C$12,"Q2",IF(J111&lt;=Churn!$C$13,"Q3","Q4 (highest)")))</f>
        <v>Q1 (lowest)</v>
      </c>
      <c r="AD111" s="4" t="str">
        <f>IF(K111&lt;=40,"&lt;=40%",IF(K111&lt;=60,"40-60%",IF(K111&lt;=80,"60-80%","80%+")))</f>
        <v>40-60%</v>
      </c>
      <c r="AE111" s="4" t="str">
        <f>IF(M111&lt;=2,"1-2",IF(M111&lt;=4,"3-4",IF(M111&lt;=6,"5-6","7+")))</f>
        <v>1-2</v>
      </c>
    </row>
    <row r="112">
      <c r="A112" s="4" t="inlineStr">
        <is>
          <t>database_replication</t>
        </is>
      </c>
      <c r="B112" s="4" t="inlineStr">
        <is>
          <t>Database</t>
        </is>
      </c>
      <c r="C112" s="4" t="inlineStr">
        <is>
          <t>C++</t>
        </is>
      </c>
      <c r="D112" s="4" t="inlineStr">
        <is>
          <t>v1.0</t>
        </is>
      </c>
      <c r="E112" s="40" t="n">
        <v>45306</v>
      </c>
      <c r="F112" s="4" t="n">
        <v>1</v>
      </c>
      <c r="G112" s="4" t="n">
        <v>989</v>
      </c>
      <c r="H112" s="18" t="n">
        <v>17.77</v>
      </c>
      <c r="I112" s="18" t="n">
        <v>10.98</v>
      </c>
      <c r="J112" s="29" t="n">
        <v>555.9</v>
      </c>
      <c r="K112" s="29" t="n">
        <v>63.5</v>
      </c>
      <c r="L112" s="4" t="n">
        <v>18</v>
      </c>
      <c r="M112" s="4" t="n">
        <v>4</v>
      </c>
      <c r="N112" s="4" t="n">
        <v>920</v>
      </c>
      <c r="O112" s="4" t="n">
        <v>2</v>
      </c>
      <c r="P112" s="4" t="n">
        <v>1</v>
      </c>
      <c r="Q112" s="4" t="n">
        <v>1</v>
      </c>
      <c r="R112" s="4" t="n">
        <v>0</v>
      </c>
      <c r="S112" s="4">
        <f>SUM(O112:R112)</f>
        <v>4</v>
      </c>
      <c r="T112" s="18">
        <f>J112/L112</f>
        <v>30.8833333333333</v>
      </c>
      <c r="U112" s="18">
        <f>S112/G112*1000</f>
        <v>4.04448938321537</v>
      </c>
      <c r="V112" s="4">
        <f>Q112+R112</f>
        <v>1</v>
      </c>
      <c r="W112" s="29">
        <f>100*((J112-MIN($J$2:$J$236))/(MAX($J$2:$J$236)-MIN($J$2:$J$236))+(H112-MIN($H$2:$H$236))/(MAX($H$2:$H$236)-MIN($H$2:$H$236))+(1-(K112-MIN($K$2:$K$236))/(MAX($K$2:$K$236)-MIN($K$2:$K$236))))/3</f>
        <v>46.7910762298323</v>
      </c>
      <c r="X112" s="4" t="n">
        <v>0</v>
      </c>
      <c r="Y112" s="4" t="n">
        <v>1</v>
      </c>
      <c r="Z112" s="4" t="n">
        <v>1</v>
      </c>
      <c r="AA112" s="4" t="inlineStr">
        <is>
          <t>No</t>
        </is>
      </c>
      <c r="AB112" s="4" t="str">
        <f>IF(H112&lt;=Complexity!$C$11,"Q1 (lowest)",IF(H112&lt;=Complexity!$C$12,"Q2",IF(H112&lt;=Complexity!$C$13,"Q3","Q4 (highest)")))</f>
        <v>Q3</v>
      </c>
      <c r="AC112" s="4" t="str">
        <f>IF(J112&lt;=Churn!$C$11,"Q1 (lowest)",IF(J112&lt;=Churn!$C$12,"Q2",IF(J112&lt;=Churn!$C$13,"Q3","Q4 (highest)")))</f>
        <v>Q4 (highest)</v>
      </c>
      <c r="AD112" s="4" t="str">
        <f>IF(K112&lt;=40,"&lt;=40%",IF(K112&lt;=60,"40-60%",IF(K112&lt;=80,"60-80%","80%+")))</f>
        <v>60-80%</v>
      </c>
      <c r="AE112" s="4" t="str">
        <f>IF(M112&lt;=2,"1-2",IF(M112&lt;=4,"3-4",IF(M112&lt;=6,"5-6","7+")))</f>
        <v>3-4</v>
      </c>
    </row>
    <row r="113">
      <c r="A113" s="4" t="inlineStr">
        <is>
          <t>database_replication</t>
        </is>
      </c>
      <c r="B113" s="4" t="inlineStr">
        <is>
          <t>Database</t>
        </is>
      </c>
      <c r="C113" s="4" t="inlineStr">
        <is>
          <t>C++</t>
        </is>
      </c>
      <c r="D113" s="4" t="inlineStr">
        <is>
          <t>v1.1</t>
        </is>
      </c>
      <c r="E113" s="40" t="n">
        <v>45432</v>
      </c>
      <c r="F113" s="4" t="n">
        <v>2</v>
      </c>
      <c r="G113" s="4" t="n">
        <v>989</v>
      </c>
      <c r="H113" s="18" t="n">
        <v>19.54</v>
      </c>
      <c r="I113" s="18" t="n">
        <v>16.39</v>
      </c>
      <c r="J113" s="29" t="n">
        <v>532.3</v>
      </c>
      <c r="K113" s="29" t="n">
        <v>67.2</v>
      </c>
      <c r="L113" s="4" t="n">
        <v>14</v>
      </c>
      <c r="M113" s="4" t="n">
        <v>3</v>
      </c>
      <c r="N113" s="4" t="n">
        <v>879</v>
      </c>
      <c r="O113" s="4" t="n">
        <v>0</v>
      </c>
      <c r="P113" s="4" t="n">
        <v>2</v>
      </c>
      <c r="Q113" s="4" t="n">
        <v>0</v>
      </c>
      <c r="R113" s="4" t="n">
        <v>0</v>
      </c>
      <c r="S113" s="4">
        <f>SUM(O113:R113)</f>
        <v>2</v>
      </c>
      <c r="T113" s="18">
        <f>J113/L113</f>
        <v>38.0214285714286</v>
      </c>
      <c r="U113" s="18">
        <f>S113/G113*1000</f>
        <v>2.02224469160768</v>
      </c>
      <c r="V113" s="4">
        <f>Q113+R113</f>
        <v>0</v>
      </c>
      <c r="W113" s="29">
        <f>100*((J113-MIN($J$2:$J$236))/(MAX($J$2:$J$236)-MIN($J$2:$J$236))+(H113-MIN($H$2:$H$236))/(MAX($H$2:$H$236)-MIN($H$2:$H$236))+(1-(K113-MIN($K$2:$K$236))/(MAX($K$2:$K$236)-MIN($K$2:$K$236))))/3</f>
        <v>46.3357811506993</v>
      </c>
      <c r="X113" s="4" t="n">
        <v>4</v>
      </c>
      <c r="Y113" s="4" t="n">
        <v>1</v>
      </c>
      <c r="Z113" s="4" t="n">
        <v>0</v>
      </c>
      <c r="AA113" s="4" t="inlineStr">
        <is>
          <t>No</t>
        </is>
      </c>
      <c r="AB113" s="4" t="str">
        <f>IF(H113&lt;=Complexity!$C$11,"Q1 (lowest)",IF(H113&lt;=Complexity!$C$12,"Q2",IF(H113&lt;=Complexity!$C$13,"Q3","Q4 (highest)")))</f>
        <v>Q4 (highest)</v>
      </c>
      <c r="AC113" s="4" t="str">
        <f>IF(J113&lt;=Churn!$C$11,"Q1 (lowest)",IF(J113&lt;=Churn!$C$12,"Q2",IF(J113&lt;=Churn!$C$13,"Q3","Q4 (highest)")))</f>
        <v>Q4 (highest)</v>
      </c>
      <c r="AD113" s="4" t="str">
        <f>IF(K113&lt;=40,"&lt;=40%",IF(K113&lt;=60,"40-60%",IF(K113&lt;=80,"60-80%","80%+")))</f>
        <v>60-80%</v>
      </c>
      <c r="AE113" s="4" t="str">
        <f>IF(M113&lt;=2,"1-2",IF(M113&lt;=4,"3-4",IF(M113&lt;=6,"5-6","7+")))</f>
        <v>3-4</v>
      </c>
    </row>
    <row r="114">
      <c r="A114" s="4" t="inlineStr">
        <is>
          <t>database_replication</t>
        </is>
      </c>
      <c r="B114" s="4" t="inlineStr">
        <is>
          <t>Database</t>
        </is>
      </c>
      <c r="C114" s="4" t="inlineStr">
        <is>
          <t>C++</t>
        </is>
      </c>
      <c r="D114" s="4" t="inlineStr">
        <is>
          <t>v2.0</t>
        </is>
      </c>
      <c r="E114" s="40" t="n">
        <v>45545</v>
      </c>
      <c r="F114" s="4" t="n">
        <v>3</v>
      </c>
      <c r="G114" s="4" t="n">
        <v>989</v>
      </c>
      <c r="H114" s="18" t="n">
        <v>21.2</v>
      </c>
      <c r="I114" s="18" t="n">
        <v>13.08</v>
      </c>
      <c r="J114" s="29" t="n">
        <v>66.3</v>
      </c>
      <c r="K114" s="29" t="n">
        <v>68</v>
      </c>
      <c r="L114" s="4" t="n">
        <v>1</v>
      </c>
      <c r="M114" s="4" t="n">
        <v>1</v>
      </c>
      <c r="N114" s="4" t="n">
        <v>83</v>
      </c>
      <c r="O114" s="4" t="n">
        <v>0</v>
      </c>
      <c r="P114" s="4" t="n">
        <v>0</v>
      </c>
      <c r="Q114" s="4" t="n">
        <v>1</v>
      </c>
      <c r="R114" s="4" t="n">
        <v>0</v>
      </c>
      <c r="S114" s="4">
        <f>SUM(O114:R114)</f>
        <v>1</v>
      </c>
      <c r="T114" s="18">
        <f>J114/L114</f>
        <v>66.3</v>
      </c>
      <c r="U114" s="18">
        <f>S114/G114*1000</f>
        <v>1.01112234580384</v>
      </c>
      <c r="V114" s="4">
        <f>Q114+R114</f>
        <v>1</v>
      </c>
      <c r="W114" s="29">
        <f>100*((J114-MIN($J$2:$J$236))/(MAX($J$2:$J$236)-MIN($J$2:$J$236))+(H114-MIN($H$2:$H$236))/(MAX($H$2:$H$236)-MIN($H$2:$H$236))+(1-(K114-MIN($K$2:$K$236))/(MAX($K$2:$K$236)-MIN($K$2:$K$236))))/3</f>
        <v>34.9559170417354</v>
      </c>
      <c r="X114" s="4" t="n">
        <v>2</v>
      </c>
      <c r="Y114" s="4" t="n">
        <v>1</v>
      </c>
      <c r="Z114" s="4" t="n">
        <v>0</v>
      </c>
      <c r="AA114" s="4" t="inlineStr">
        <is>
          <t>No</t>
        </is>
      </c>
      <c r="AB114" s="4" t="str">
        <f>IF(H114&lt;=Complexity!$C$11,"Q1 (lowest)",IF(H114&lt;=Complexity!$C$12,"Q2",IF(H114&lt;=Complexity!$C$13,"Q3","Q4 (highest)")))</f>
        <v>Q4 (highest)</v>
      </c>
      <c r="AC114" s="4" t="str">
        <f>IF(J114&lt;=Churn!$C$11,"Q1 (lowest)",IF(J114&lt;=Churn!$C$12,"Q2",IF(J114&lt;=Churn!$C$13,"Q3","Q4 (highest)")))</f>
        <v>Q1 (lowest)</v>
      </c>
      <c r="AD114" s="4" t="str">
        <f>IF(K114&lt;=40,"&lt;=40%",IF(K114&lt;=60,"40-60%",IF(K114&lt;=80,"60-80%","80%+")))</f>
        <v>60-80%</v>
      </c>
      <c r="AE114" s="4" t="str">
        <f>IF(M114&lt;=2,"1-2",IF(M114&lt;=4,"3-4",IF(M114&lt;=6,"5-6","7+")))</f>
        <v>1-2</v>
      </c>
    </row>
    <row r="115">
      <c r="A115" s="4" t="inlineStr">
        <is>
          <t>database_replication</t>
        </is>
      </c>
      <c r="B115" s="4" t="inlineStr">
        <is>
          <t>Database</t>
        </is>
      </c>
      <c r="C115" s="4" t="inlineStr">
        <is>
          <t>C++</t>
        </is>
      </c>
      <c r="D115" s="4" t="inlineStr">
        <is>
          <t>v2.1</t>
        </is>
      </c>
      <c r="E115" s="40" t="n">
        <v>45706</v>
      </c>
      <c r="F115" s="4" t="n">
        <v>4</v>
      </c>
      <c r="G115" s="4" t="n">
        <v>989</v>
      </c>
      <c r="H115" s="18" t="n">
        <v>23.53</v>
      </c>
      <c r="I115" s="18" t="n">
        <v>13.31</v>
      </c>
      <c r="J115" s="29" t="n">
        <v>390.3</v>
      </c>
      <c r="K115" s="29" t="n">
        <v>67.3</v>
      </c>
      <c r="L115" s="4" t="n">
        <v>14</v>
      </c>
      <c r="M115" s="4" t="n">
        <v>5</v>
      </c>
      <c r="N115" s="4" t="n">
        <v>443</v>
      </c>
      <c r="O115" s="4" t="n">
        <v>0</v>
      </c>
      <c r="P115" s="4" t="n">
        <v>0</v>
      </c>
      <c r="Q115" s="4" t="n">
        <v>1</v>
      </c>
      <c r="R115" s="4" t="n">
        <v>0</v>
      </c>
      <c r="S115" s="4">
        <f>SUM(O115:R115)</f>
        <v>1</v>
      </c>
      <c r="T115" s="18">
        <f>J115/L115</f>
        <v>27.8785714285714</v>
      </c>
      <c r="U115" s="18">
        <f>S115/G115*1000</f>
        <v>1.01112234580384</v>
      </c>
      <c r="V115" s="4">
        <f>Q115+R115</f>
        <v>1</v>
      </c>
      <c r="W115" s="29">
        <f>100*((J115-MIN($J$2:$J$236))/(MAX($J$2:$J$236)-MIN($J$2:$J$236))+(H115-MIN($H$2:$H$236))/(MAX($H$2:$H$236)-MIN($H$2:$H$236))+(1-(K115-MIN($K$2:$K$236))/(MAX($K$2:$K$236)-MIN($K$2:$K$236))))/3</f>
        <v>46.6323458771295</v>
      </c>
      <c r="X115" s="4" t="n">
        <v>1</v>
      </c>
      <c r="Y115" s="4" t="n">
        <v>1</v>
      </c>
      <c r="Z115" s="4" t="n">
        <v>0</v>
      </c>
      <c r="AA115" s="4" t="inlineStr">
        <is>
          <t>No</t>
        </is>
      </c>
      <c r="AB115" s="4" t="str">
        <f>IF(H115&lt;=Complexity!$C$11,"Q1 (lowest)",IF(H115&lt;=Complexity!$C$12,"Q2",IF(H115&lt;=Complexity!$C$13,"Q3","Q4 (highest)")))</f>
        <v>Q4 (highest)</v>
      </c>
      <c r="AC115" s="4" t="str">
        <f>IF(J115&lt;=Churn!$C$11,"Q1 (lowest)",IF(J115&lt;=Churn!$C$12,"Q2",IF(J115&lt;=Churn!$C$13,"Q3","Q4 (highest)")))</f>
        <v>Q3</v>
      </c>
      <c r="AD115" s="4" t="str">
        <f>IF(K115&lt;=40,"&lt;=40%",IF(K115&lt;=60,"40-60%",IF(K115&lt;=80,"60-80%","80%+")))</f>
        <v>60-80%</v>
      </c>
      <c r="AE115" s="4" t="str">
        <f>IF(M115&lt;=2,"1-2",IF(M115&lt;=4,"3-4",IF(M115&lt;=6,"5-6","7+")))</f>
        <v>5-6</v>
      </c>
    </row>
    <row r="116">
      <c r="A116" s="4" t="inlineStr">
        <is>
          <t>database_replication</t>
        </is>
      </c>
      <c r="B116" s="4" t="inlineStr">
        <is>
          <t>Database</t>
        </is>
      </c>
      <c r="C116" s="4" t="inlineStr">
        <is>
          <t>C++</t>
        </is>
      </c>
      <c r="D116" s="4" t="inlineStr">
        <is>
          <t>v3.0</t>
        </is>
      </c>
      <c r="E116" s="40" t="n">
        <v>45839</v>
      </c>
      <c r="F116" s="4" t="n">
        <v>5</v>
      </c>
      <c r="G116" s="4" t="n">
        <v>989</v>
      </c>
      <c r="H116" s="18" t="n">
        <v>15.7</v>
      </c>
      <c r="I116" s="18" t="n">
        <v>10</v>
      </c>
      <c r="J116" s="29" t="n">
        <v>95.90000000000001</v>
      </c>
      <c r="K116" s="29" t="n">
        <v>63.1</v>
      </c>
      <c r="L116" s="4" t="n">
        <v>4</v>
      </c>
      <c r="M116" s="4" t="n">
        <v>2</v>
      </c>
      <c r="N116" s="4" t="n">
        <v>107</v>
      </c>
      <c r="O116" s="4" t="n">
        <v>1</v>
      </c>
      <c r="P116" s="4" t="n">
        <v>1</v>
      </c>
      <c r="Q116" s="4" t="n">
        <v>0</v>
      </c>
      <c r="R116" s="4" t="n">
        <v>0</v>
      </c>
      <c r="S116" s="4">
        <f>SUM(O116:R116)</f>
        <v>2</v>
      </c>
      <c r="T116" s="18">
        <f>J116/L116</f>
        <v>23.975</v>
      </c>
      <c r="U116" s="18">
        <f>S116/G116*1000</f>
        <v>2.02224469160768</v>
      </c>
      <c r="V116" s="4">
        <f>Q116+R116</f>
        <v>0</v>
      </c>
      <c r="W116" s="29">
        <f>100*((J116-MIN($J$2:$J$236))/(MAX($J$2:$J$236)-MIN($J$2:$J$236))+(H116-MIN($H$2:$H$236))/(MAX($H$2:$H$236)-MIN($H$2:$H$236))+(1-(K116-MIN($K$2:$K$236))/(MAX($K$2:$K$236)-MIN($K$2:$K$236))))/3</f>
        <v>32.1632617176765</v>
      </c>
      <c r="X116" s="4" t="n">
        <v>1</v>
      </c>
      <c r="Y116" s="4" t="n">
        <v>1</v>
      </c>
      <c r="Z116" s="4" t="n">
        <v>0</v>
      </c>
      <c r="AA116" s="4" t="inlineStr">
        <is>
          <t>No</t>
        </is>
      </c>
      <c r="AB116" s="4" t="str">
        <f>IF(H116&lt;=Complexity!$C$11,"Q1 (lowest)",IF(H116&lt;=Complexity!$C$12,"Q2",IF(H116&lt;=Complexity!$C$13,"Q3","Q4 (highest)")))</f>
        <v>Q3</v>
      </c>
      <c r="AC116" s="4" t="str">
        <f>IF(J116&lt;=Churn!$C$11,"Q1 (lowest)",IF(J116&lt;=Churn!$C$12,"Q2",IF(J116&lt;=Churn!$C$13,"Q3","Q4 (highest)")))</f>
        <v>Q1 (lowest)</v>
      </c>
      <c r="AD116" s="4" t="str">
        <f>IF(K116&lt;=40,"&lt;=40%",IF(K116&lt;=60,"40-60%",IF(K116&lt;=80,"60-80%","80%+")))</f>
        <v>60-80%</v>
      </c>
      <c r="AE116" s="4" t="str">
        <f>IF(M116&lt;=2,"1-2",IF(M116&lt;=4,"3-4",IF(M116&lt;=6,"5-6","7+")))</f>
        <v>1-2</v>
      </c>
    </row>
    <row r="117">
      <c r="A117" s="4" t="inlineStr">
        <is>
          <t>payments_checkout</t>
        </is>
      </c>
      <c r="B117" s="4" t="inlineStr">
        <is>
          <t>Payments</t>
        </is>
      </c>
      <c r="C117" s="4" t="inlineStr">
        <is>
          <t>C++</t>
        </is>
      </c>
      <c r="D117" s="4" t="inlineStr">
        <is>
          <t>v1.0</t>
        </is>
      </c>
      <c r="E117" s="40" t="n">
        <v>45306</v>
      </c>
      <c r="F117" s="4" t="n">
        <v>1</v>
      </c>
      <c r="G117" s="4" t="n">
        <v>3929</v>
      </c>
      <c r="H117" s="18" t="n">
        <v>12.52</v>
      </c>
      <c r="I117" s="18" t="n">
        <v>10.87</v>
      </c>
      <c r="J117" s="29" t="n">
        <v>204.6</v>
      </c>
      <c r="K117" s="29" t="n">
        <v>57.7</v>
      </c>
      <c r="L117" s="4" t="n">
        <v>6</v>
      </c>
      <c r="M117" s="4" t="n">
        <v>2</v>
      </c>
      <c r="N117" s="4" t="n">
        <v>298</v>
      </c>
      <c r="O117" s="4" t="n">
        <v>0</v>
      </c>
      <c r="P117" s="4" t="n">
        <v>2</v>
      </c>
      <c r="Q117" s="4" t="n">
        <v>1</v>
      </c>
      <c r="R117" s="4" t="n">
        <v>0</v>
      </c>
      <c r="S117" s="4">
        <f>SUM(O117:R117)</f>
        <v>3</v>
      </c>
      <c r="T117" s="18">
        <f>J117/L117</f>
        <v>34.1</v>
      </c>
      <c r="U117" s="18">
        <f>S117/G117*1000</f>
        <v>0.763553066938152</v>
      </c>
      <c r="V117" s="4">
        <f>Q117+R117</f>
        <v>1</v>
      </c>
      <c r="W117" s="29">
        <f>100*((J117-MIN($J$2:$J$236))/(MAX($J$2:$J$236)-MIN($J$2:$J$236))+(H117-MIN($H$2:$H$236))/(MAX($H$2:$H$236)-MIN($H$2:$H$236))+(1-(K117-MIN($K$2:$K$236))/(MAX($K$2:$K$236)-MIN($K$2:$K$236))))/3</f>
        <v>34.2302960610134</v>
      </c>
      <c r="X117" s="4" t="n">
        <v>0</v>
      </c>
      <c r="Y117" s="4" t="n">
        <v>0</v>
      </c>
      <c r="Z117" s="4" t="n">
        <v>1</v>
      </c>
      <c r="AA117" s="4" t="inlineStr">
        <is>
          <t>No</t>
        </is>
      </c>
      <c r="AB117" s="4" t="str">
        <f>IF(H117&lt;=Complexity!$C$11,"Q1 (lowest)",IF(H117&lt;=Complexity!$C$12,"Q2",IF(H117&lt;=Complexity!$C$13,"Q3","Q4 (highest)")))</f>
        <v>Q2</v>
      </c>
      <c r="AC117" s="4" t="str">
        <f>IF(J117&lt;=Churn!$C$11,"Q1 (lowest)",IF(J117&lt;=Churn!$C$12,"Q2",IF(J117&lt;=Churn!$C$13,"Q3","Q4 (highest)")))</f>
        <v>Q2</v>
      </c>
      <c r="AD117" s="4" t="str">
        <f>IF(K117&lt;=40,"&lt;=40%",IF(K117&lt;=60,"40-60%",IF(K117&lt;=80,"60-80%","80%+")))</f>
        <v>40-60%</v>
      </c>
      <c r="AE117" s="4" t="str">
        <f>IF(M117&lt;=2,"1-2",IF(M117&lt;=4,"3-4",IF(M117&lt;=6,"5-6","7+")))</f>
        <v>1-2</v>
      </c>
    </row>
    <row r="118">
      <c r="A118" s="4" t="inlineStr">
        <is>
          <t>payments_checkout</t>
        </is>
      </c>
      <c r="B118" s="4" t="inlineStr">
        <is>
          <t>Payments</t>
        </is>
      </c>
      <c r="C118" s="4" t="inlineStr">
        <is>
          <t>C++</t>
        </is>
      </c>
      <c r="D118" s="4" t="inlineStr">
        <is>
          <t>v1.1</t>
        </is>
      </c>
      <c r="E118" s="40" t="n">
        <v>45432</v>
      </c>
      <c r="F118" s="4" t="n">
        <v>2</v>
      </c>
      <c r="G118" s="4" t="n">
        <v>3929</v>
      </c>
      <c r="H118" s="18" t="n">
        <v>11.45</v>
      </c>
      <c r="I118" s="18" t="n">
        <v>7.6</v>
      </c>
      <c r="J118" s="29" t="n">
        <v>343.7</v>
      </c>
      <c r="K118" s="29" t="n">
        <v>68.59999999999999</v>
      </c>
      <c r="L118" s="4" t="n">
        <v>9</v>
      </c>
      <c r="M118" s="4" t="n">
        <v>2</v>
      </c>
      <c r="N118" s="4" t="n">
        <v>445</v>
      </c>
      <c r="O118" s="4" t="n">
        <v>0</v>
      </c>
      <c r="P118" s="4" t="n">
        <v>0</v>
      </c>
      <c r="Q118" s="4" t="n">
        <v>0</v>
      </c>
      <c r="R118" s="4" t="n">
        <v>0</v>
      </c>
      <c r="S118" s="4">
        <f>SUM(O118:R118)</f>
        <v>0</v>
      </c>
      <c r="T118" s="18">
        <f>J118/L118</f>
        <v>38.1888888888889</v>
      </c>
      <c r="U118" s="18">
        <f>S118/G118*1000</f>
        <v>0</v>
      </c>
      <c r="V118" s="4">
        <f>Q118+R118</f>
        <v>0</v>
      </c>
      <c r="W118" s="29">
        <f>100*((J118-MIN($J$2:$J$236))/(MAX($J$2:$J$236)-MIN($J$2:$J$236))+(H118-MIN($H$2:$H$236))/(MAX($H$2:$H$236)-MIN($H$2:$H$236))+(1-(K118-MIN($K$2:$K$236))/(MAX($K$2:$K$236)-MIN($K$2:$K$236))))/3</f>
        <v>31.9380439167575</v>
      </c>
      <c r="X118" s="4" t="n">
        <v>3</v>
      </c>
      <c r="Y118" s="4" t="n">
        <v>0</v>
      </c>
      <c r="Z118" s="4" t="n">
        <v>0</v>
      </c>
      <c r="AA118" s="4" t="inlineStr">
        <is>
          <t>No</t>
        </is>
      </c>
      <c r="AB118" s="4" t="str">
        <f>IF(H118&lt;=Complexity!$C$11,"Q1 (lowest)",IF(H118&lt;=Complexity!$C$12,"Q2",IF(H118&lt;=Complexity!$C$13,"Q3","Q4 (highest)")))</f>
        <v>Q2</v>
      </c>
      <c r="AC118" s="4" t="str">
        <f>IF(J118&lt;=Churn!$C$11,"Q1 (lowest)",IF(J118&lt;=Churn!$C$12,"Q2",IF(J118&lt;=Churn!$C$13,"Q3","Q4 (highest)")))</f>
        <v>Q3</v>
      </c>
      <c r="AD118" s="4" t="str">
        <f>IF(K118&lt;=40,"&lt;=40%",IF(K118&lt;=60,"40-60%",IF(K118&lt;=80,"60-80%","80%+")))</f>
        <v>60-80%</v>
      </c>
      <c r="AE118" s="4" t="str">
        <f>IF(M118&lt;=2,"1-2",IF(M118&lt;=4,"3-4",IF(M118&lt;=6,"5-6","7+")))</f>
        <v>1-2</v>
      </c>
    </row>
    <row r="119">
      <c r="A119" s="4" t="inlineStr">
        <is>
          <t>payments_checkout</t>
        </is>
      </c>
      <c r="B119" s="4" t="inlineStr">
        <is>
          <t>Payments</t>
        </is>
      </c>
      <c r="C119" s="4" t="inlineStr">
        <is>
          <t>C++</t>
        </is>
      </c>
      <c r="D119" s="4" t="inlineStr">
        <is>
          <t>v2.0</t>
        </is>
      </c>
      <c r="E119" s="40" t="n">
        <v>45545</v>
      </c>
      <c r="F119" s="4" t="n">
        <v>3</v>
      </c>
      <c r="G119" s="4" t="n">
        <v>3929</v>
      </c>
      <c r="H119" s="18" t="n">
        <v>11.45</v>
      </c>
      <c r="I119" s="18" t="n">
        <v>10.84</v>
      </c>
      <c r="J119" s="29" t="n">
        <v>52.1</v>
      </c>
      <c r="K119" s="29" t="n">
        <v>52.6</v>
      </c>
      <c r="L119" s="4" t="n">
        <v>1</v>
      </c>
      <c r="M119" s="4" t="n">
        <v>1</v>
      </c>
      <c r="N119" s="4" t="n">
        <v>62</v>
      </c>
      <c r="O119" s="4" t="n">
        <v>0</v>
      </c>
      <c r="P119" s="4" t="n">
        <v>0</v>
      </c>
      <c r="Q119" s="4" t="n">
        <v>0</v>
      </c>
      <c r="R119" s="4" t="n">
        <v>0</v>
      </c>
      <c r="S119" s="4">
        <f>SUM(O119:R119)</f>
        <v>0</v>
      </c>
      <c r="T119" s="18">
        <f>J119/L119</f>
        <v>52.1</v>
      </c>
      <c r="U119" s="18">
        <f>S119/G119*1000</f>
        <v>0</v>
      </c>
      <c r="V119" s="4">
        <f>Q119+R119</f>
        <v>0</v>
      </c>
      <c r="W119" s="29">
        <f>100*((J119-MIN($J$2:$J$236))/(MAX($J$2:$J$236)-MIN($J$2:$J$236))+(H119-MIN($H$2:$H$236))/(MAX($H$2:$H$236)-MIN($H$2:$H$236))+(1-(K119-MIN($K$2:$K$236))/(MAX($K$2:$K$236)-MIN($K$2:$K$236))))/3</f>
        <v>31.2385919488296</v>
      </c>
      <c r="X119" s="4" t="n">
        <v>0</v>
      </c>
      <c r="Y119" s="4" t="n">
        <v>0</v>
      </c>
      <c r="Z119" s="4" t="n">
        <v>0</v>
      </c>
      <c r="AA119" s="4" t="inlineStr">
        <is>
          <t>Yes</t>
        </is>
      </c>
      <c r="AB119" s="4" t="str">
        <f>IF(H119&lt;=Complexity!$C$11,"Q1 (lowest)",IF(H119&lt;=Complexity!$C$12,"Q2",IF(H119&lt;=Complexity!$C$13,"Q3","Q4 (highest)")))</f>
        <v>Q2</v>
      </c>
      <c r="AC119" s="4" t="str">
        <f>IF(J119&lt;=Churn!$C$11,"Q1 (lowest)",IF(J119&lt;=Churn!$C$12,"Q2",IF(J119&lt;=Churn!$C$13,"Q3","Q4 (highest)")))</f>
        <v>Q1 (lowest)</v>
      </c>
      <c r="AD119" s="4" t="str">
        <f>IF(K119&lt;=40,"&lt;=40%",IF(K119&lt;=60,"40-60%",IF(K119&lt;=80,"60-80%","80%+")))</f>
        <v>40-60%</v>
      </c>
      <c r="AE119" s="4" t="str">
        <f>IF(M119&lt;=2,"1-2",IF(M119&lt;=4,"3-4",IF(M119&lt;=6,"5-6","7+")))</f>
        <v>1-2</v>
      </c>
    </row>
    <row r="120">
      <c r="A120" s="4" t="inlineStr">
        <is>
          <t>payments_checkout</t>
        </is>
      </c>
      <c r="B120" s="4" t="inlineStr">
        <is>
          <t>Payments</t>
        </is>
      </c>
      <c r="C120" s="4" t="inlineStr">
        <is>
          <t>C++</t>
        </is>
      </c>
      <c r="D120" s="4" t="inlineStr">
        <is>
          <t>v2.1</t>
        </is>
      </c>
      <c r="E120" s="40" t="n">
        <v>45706</v>
      </c>
      <c r="F120" s="4" t="n">
        <v>4</v>
      </c>
      <c r="G120" s="4" t="n">
        <v>3929</v>
      </c>
      <c r="H120" s="18" t="n">
        <v>7.46</v>
      </c>
      <c r="I120" s="18" t="n">
        <v>1.43</v>
      </c>
      <c r="J120" s="29" t="n">
        <v>175.3</v>
      </c>
      <c r="K120" s="29" t="n">
        <v>67.2</v>
      </c>
      <c r="L120" s="4" t="n">
        <v>7</v>
      </c>
      <c r="M120" s="4" t="n">
        <v>3</v>
      </c>
      <c r="N120" s="4" t="n">
        <v>279</v>
      </c>
      <c r="O120" s="4" t="n">
        <v>0</v>
      </c>
      <c r="P120" s="4" t="n">
        <v>0</v>
      </c>
      <c r="Q120" s="4" t="n">
        <v>0</v>
      </c>
      <c r="R120" s="4" t="n">
        <v>0</v>
      </c>
      <c r="S120" s="4">
        <f>SUM(O120:R120)</f>
        <v>0</v>
      </c>
      <c r="T120" s="18">
        <f>J120/L120</f>
        <v>25.0428571428571</v>
      </c>
      <c r="U120" s="18">
        <f>S120/G120*1000</f>
        <v>0</v>
      </c>
      <c r="V120" s="4">
        <f>Q120+R120</f>
        <v>0</v>
      </c>
      <c r="W120" s="29">
        <f>100*((J120-MIN($J$2:$J$236))/(MAX($J$2:$J$236)-MIN($J$2:$J$236))+(H120-MIN($H$2:$H$236))/(MAX($H$2:$H$236)-MIN($H$2:$H$236))+(1-(K120-MIN($K$2:$K$236))/(MAX($K$2:$K$236)-MIN($K$2:$K$236))))/3</f>
        <v>23.7234027965162</v>
      </c>
      <c r="X120" s="4" t="n">
        <v>0</v>
      </c>
      <c r="Y120" s="4" t="n">
        <v>0</v>
      </c>
      <c r="Z120" s="4" t="n">
        <v>0</v>
      </c>
      <c r="AA120" s="4" t="inlineStr">
        <is>
          <t>No</t>
        </is>
      </c>
      <c r="AB120" s="4" t="str">
        <f>IF(H120&lt;=Complexity!$C$11,"Q1 (lowest)",IF(H120&lt;=Complexity!$C$12,"Q2",IF(H120&lt;=Complexity!$C$13,"Q3","Q4 (highest)")))</f>
        <v>Q1 (lowest)</v>
      </c>
      <c r="AC120" s="4" t="str">
        <f>IF(J120&lt;=Churn!$C$11,"Q1 (lowest)",IF(J120&lt;=Churn!$C$12,"Q2",IF(J120&lt;=Churn!$C$13,"Q3","Q4 (highest)")))</f>
        <v>Q2</v>
      </c>
      <c r="AD120" s="4" t="str">
        <f>IF(K120&lt;=40,"&lt;=40%",IF(K120&lt;=60,"40-60%",IF(K120&lt;=80,"60-80%","80%+")))</f>
        <v>60-80%</v>
      </c>
      <c r="AE120" s="4" t="str">
        <f>IF(M120&lt;=2,"1-2",IF(M120&lt;=4,"3-4",IF(M120&lt;=6,"5-6","7+")))</f>
        <v>3-4</v>
      </c>
    </row>
    <row r="121">
      <c r="A121" s="4" t="inlineStr">
        <is>
          <t>payments_checkout</t>
        </is>
      </c>
      <c r="B121" s="4" t="inlineStr">
        <is>
          <t>Payments</t>
        </is>
      </c>
      <c r="C121" s="4" t="inlineStr">
        <is>
          <t>C++</t>
        </is>
      </c>
      <c r="D121" s="4" t="inlineStr">
        <is>
          <t>v3.0</t>
        </is>
      </c>
      <c r="E121" s="40" t="n">
        <v>45839</v>
      </c>
      <c r="F121" s="4" t="n">
        <v>5</v>
      </c>
      <c r="G121" s="4" t="n">
        <v>3929</v>
      </c>
      <c r="H121" s="18" t="n">
        <v>11.45</v>
      </c>
      <c r="I121" s="18" t="n">
        <v>9.35</v>
      </c>
      <c r="J121" s="29" t="n">
        <v>426.2</v>
      </c>
      <c r="K121" s="29" t="n">
        <v>68.59999999999999</v>
      </c>
      <c r="L121" s="4" t="n">
        <v>19</v>
      </c>
      <c r="M121" s="4" t="n">
        <v>6</v>
      </c>
      <c r="N121" s="4" t="n">
        <v>763</v>
      </c>
      <c r="O121" s="4" t="n">
        <v>1</v>
      </c>
      <c r="P121" s="4" t="n">
        <v>2</v>
      </c>
      <c r="Q121" s="4" t="n">
        <v>0</v>
      </c>
      <c r="R121" s="4" t="n">
        <v>0</v>
      </c>
      <c r="S121" s="4">
        <f>SUM(O121:R121)</f>
        <v>3</v>
      </c>
      <c r="T121" s="18">
        <f>J121/L121</f>
        <v>22.4315789473684</v>
      </c>
      <c r="U121" s="18">
        <f>S121/G121*1000</f>
        <v>0.763553066938152</v>
      </c>
      <c r="V121" s="4">
        <f>Q121+R121</f>
        <v>0</v>
      </c>
      <c r="W121" s="29">
        <f>100*((J121-MIN($J$2:$J$236))/(MAX($J$2:$J$236)-MIN($J$2:$J$236))+(H121-MIN($H$2:$H$236))/(MAX($H$2:$H$236)-MIN($H$2:$H$236))+(1-(K121-MIN($K$2:$K$236))/(MAX($K$2:$K$236)-MIN($K$2:$K$236))))/3</f>
        <v>34.2001151514371</v>
      </c>
      <c r="X121" s="4" t="n">
        <v>0</v>
      </c>
      <c r="Y121" s="4" t="n">
        <v>0</v>
      </c>
      <c r="Z121" s="4" t="n">
        <v>1</v>
      </c>
      <c r="AA121" s="4" t="inlineStr">
        <is>
          <t>No</t>
        </is>
      </c>
      <c r="AB121" s="4" t="str">
        <f>IF(H121&lt;=Complexity!$C$11,"Q1 (lowest)",IF(H121&lt;=Complexity!$C$12,"Q2",IF(H121&lt;=Complexity!$C$13,"Q3","Q4 (highest)")))</f>
        <v>Q2</v>
      </c>
      <c r="AC121" s="4" t="str">
        <f>IF(J121&lt;=Churn!$C$11,"Q1 (lowest)",IF(J121&lt;=Churn!$C$12,"Q2",IF(J121&lt;=Churn!$C$13,"Q3","Q4 (highest)")))</f>
        <v>Q4 (highest)</v>
      </c>
      <c r="AD121" s="4" t="str">
        <f>IF(K121&lt;=40,"&lt;=40%",IF(K121&lt;=60,"40-60%",IF(K121&lt;=80,"60-80%","80%+")))</f>
        <v>60-80%</v>
      </c>
      <c r="AE121" s="4" t="str">
        <f>IF(M121&lt;=2,"1-2",IF(M121&lt;=4,"3-4",IF(M121&lt;=6,"5-6","7+")))</f>
        <v>5-6</v>
      </c>
    </row>
    <row r="122">
      <c r="A122" s="4" t="inlineStr">
        <is>
          <t>payments_fraud</t>
        </is>
      </c>
      <c r="B122" s="4" t="inlineStr">
        <is>
          <t>Payments</t>
        </is>
      </c>
      <c r="C122" s="4" t="inlineStr">
        <is>
          <t>Java</t>
        </is>
      </c>
      <c r="D122" s="4" t="inlineStr">
        <is>
          <t>v1.0</t>
        </is>
      </c>
      <c r="E122" s="40" t="n">
        <v>45306</v>
      </c>
      <c r="F122" s="4" t="n">
        <v>1</v>
      </c>
      <c r="G122" s="4" t="n">
        <v>1821</v>
      </c>
      <c r="H122" s="18" t="n">
        <v>17.42</v>
      </c>
      <c r="I122" s="18" t="n">
        <v>11.19</v>
      </c>
      <c r="J122" s="29" t="n">
        <v>1084.4</v>
      </c>
      <c r="K122" s="29" t="n">
        <v>38.9</v>
      </c>
      <c r="L122" s="4" t="n">
        <v>27</v>
      </c>
      <c r="M122" s="4" t="n">
        <v>5</v>
      </c>
      <c r="N122" s="4" t="n">
        <v>1738</v>
      </c>
      <c r="O122" s="4" t="n">
        <v>6</v>
      </c>
      <c r="P122" s="4" t="n">
        <v>3</v>
      </c>
      <c r="Q122" s="4" t="n">
        <v>0</v>
      </c>
      <c r="R122" s="4" t="n">
        <v>0</v>
      </c>
      <c r="S122" s="4">
        <f>SUM(O122:R122)</f>
        <v>9</v>
      </c>
      <c r="T122" s="18">
        <f>J122/L122</f>
        <v>40.162962962963</v>
      </c>
      <c r="U122" s="18">
        <f>S122/G122*1000</f>
        <v>4.94233937397035</v>
      </c>
      <c r="V122" s="4">
        <f>Q122+R122</f>
        <v>0</v>
      </c>
      <c r="W122" s="29">
        <f>100*((J122-MIN($J$2:$J$236))/(MAX($J$2:$J$236)-MIN($J$2:$J$236))+(H122-MIN($H$2:$H$236))/(MAX($H$2:$H$236)-MIN($H$2:$H$236))+(1-(K122-MIN($K$2:$K$236))/(MAX($K$2:$K$236)-MIN($K$2:$K$236))))/3</f>
        <v>72.1280020204912</v>
      </c>
      <c r="X122" s="4" t="n">
        <v>0</v>
      </c>
      <c r="Y122" s="4" t="n">
        <v>1</v>
      </c>
      <c r="Z122" s="4" t="n">
        <v>1</v>
      </c>
      <c r="AA122" s="4" t="inlineStr">
        <is>
          <t>No</t>
        </is>
      </c>
      <c r="AB122" s="4" t="str">
        <f>IF(H122&lt;=Complexity!$C$11,"Q1 (lowest)",IF(H122&lt;=Complexity!$C$12,"Q2",IF(H122&lt;=Complexity!$C$13,"Q3","Q4 (highest)")))</f>
        <v>Q3</v>
      </c>
      <c r="AC122" s="4" t="str">
        <f>IF(J122&lt;=Churn!$C$11,"Q1 (lowest)",IF(J122&lt;=Churn!$C$12,"Q2",IF(J122&lt;=Churn!$C$13,"Q3","Q4 (highest)")))</f>
        <v>Q4 (highest)</v>
      </c>
      <c r="AD122" s="4" t="str">
        <f>IF(K122&lt;=40,"&lt;=40%",IF(K122&lt;=60,"40-60%",IF(K122&lt;=80,"60-80%","80%+")))</f>
        <v>&lt;=40%</v>
      </c>
      <c r="AE122" s="4" t="str">
        <f>IF(M122&lt;=2,"1-2",IF(M122&lt;=4,"3-4",IF(M122&lt;=6,"5-6","7+")))</f>
        <v>5-6</v>
      </c>
    </row>
    <row r="123">
      <c r="A123" s="4" t="inlineStr">
        <is>
          <t>payments_fraud</t>
        </is>
      </c>
      <c r="B123" s="4" t="inlineStr">
        <is>
          <t>Payments</t>
        </is>
      </c>
      <c r="C123" s="4" t="inlineStr">
        <is>
          <t>Java</t>
        </is>
      </c>
      <c r="D123" s="4" t="inlineStr">
        <is>
          <t>v1.1</t>
        </is>
      </c>
      <c r="E123" s="40" t="n">
        <v>45432</v>
      </c>
      <c r="F123" s="4" t="n">
        <v>2</v>
      </c>
      <c r="G123" s="4" t="n">
        <v>1821</v>
      </c>
      <c r="H123" s="18" t="n">
        <v>20.19</v>
      </c>
      <c r="I123" s="18" t="n">
        <v>13.64</v>
      </c>
      <c r="J123" s="29" t="n">
        <v>472.5</v>
      </c>
      <c r="K123" s="29" t="n">
        <v>43.5</v>
      </c>
      <c r="L123" s="4" t="n">
        <v>18</v>
      </c>
      <c r="M123" s="4" t="n">
        <v>6</v>
      </c>
      <c r="N123" s="4" t="n">
        <v>600</v>
      </c>
      <c r="O123" s="4" t="n">
        <v>1</v>
      </c>
      <c r="P123" s="4" t="n">
        <v>1</v>
      </c>
      <c r="Q123" s="4" t="n">
        <v>0</v>
      </c>
      <c r="R123" s="4" t="n">
        <v>0</v>
      </c>
      <c r="S123" s="4">
        <f>SUM(O123:R123)</f>
        <v>2</v>
      </c>
      <c r="T123" s="18">
        <f>J123/L123</f>
        <v>26.25</v>
      </c>
      <c r="U123" s="18">
        <f>S123/G123*1000</f>
        <v>1.09829763866008</v>
      </c>
      <c r="V123" s="4">
        <f>Q123+R123</f>
        <v>0</v>
      </c>
      <c r="W123" s="29">
        <f>100*((J123-MIN($J$2:$J$236))/(MAX($J$2:$J$236)-MIN($J$2:$J$236))+(H123-MIN($H$2:$H$236))/(MAX($H$2:$H$236)-MIN($H$2:$H$236))+(1-(K123-MIN($K$2:$K$236))/(MAX($K$2:$K$236)-MIN($K$2:$K$236))))/3</f>
        <v>56.1932570181367</v>
      </c>
      <c r="X123" s="4" t="n">
        <v>9</v>
      </c>
      <c r="Y123" s="4" t="n">
        <v>1</v>
      </c>
      <c r="Z123" s="4" t="n">
        <v>0</v>
      </c>
      <c r="AA123" s="4" t="inlineStr">
        <is>
          <t>No</t>
        </is>
      </c>
      <c r="AB123" s="4" t="str">
        <f>IF(H123&lt;=Complexity!$C$11,"Q1 (lowest)",IF(H123&lt;=Complexity!$C$12,"Q2",IF(H123&lt;=Complexity!$C$13,"Q3","Q4 (highest)")))</f>
        <v>Q4 (highest)</v>
      </c>
      <c r="AC123" s="4" t="str">
        <f>IF(J123&lt;=Churn!$C$11,"Q1 (lowest)",IF(J123&lt;=Churn!$C$12,"Q2",IF(J123&lt;=Churn!$C$13,"Q3","Q4 (highest)")))</f>
        <v>Q4 (highest)</v>
      </c>
      <c r="AD123" s="4" t="str">
        <f>IF(K123&lt;=40,"&lt;=40%",IF(K123&lt;=60,"40-60%",IF(K123&lt;=80,"60-80%","80%+")))</f>
        <v>40-60%</v>
      </c>
      <c r="AE123" s="4" t="str">
        <f>IF(M123&lt;=2,"1-2",IF(M123&lt;=4,"3-4",IF(M123&lt;=6,"5-6","7+")))</f>
        <v>5-6</v>
      </c>
    </row>
    <row r="124">
      <c r="A124" s="4" t="inlineStr">
        <is>
          <t>payments_fraud</t>
        </is>
      </c>
      <c r="B124" s="4" t="inlineStr">
        <is>
          <t>Payments</t>
        </is>
      </c>
      <c r="C124" s="4" t="inlineStr">
        <is>
          <t>Java</t>
        </is>
      </c>
      <c r="D124" s="4" t="inlineStr">
        <is>
          <t>v2.0</t>
        </is>
      </c>
      <c r="E124" s="40" t="n">
        <v>45545</v>
      </c>
      <c r="F124" s="4" t="n">
        <v>3</v>
      </c>
      <c r="G124" s="4" t="n">
        <v>1821</v>
      </c>
      <c r="H124" s="18" t="n">
        <v>20.06</v>
      </c>
      <c r="I124" s="18" t="n">
        <v>13.77</v>
      </c>
      <c r="J124" s="29" t="n">
        <v>157.8</v>
      </c>
      <c r="K124" s="29" t="n">
        <v>37.5</v>
      </c>
      <c r="L124" s="4" t="n">
        <v>6</v>
      </c>
      <c r="M124" s="4" t="n">
        <v>2</v>
      </c>
      <c r="N124" s="4" t="n">
        <v>226</v>
      </c>
      <c r="O124" s="4" t="n">
        <v>1</v>
      </c>
      <c r="P124" s="4" t="n">
        <v>1</v>
      </c>
      <c r="Q124" s="4" t="n">
        <v>1</v>
      </c>
      <c r="R124" s="4" t="n">
        <v>0</v>
      </c>
      <c r="S124" s="4">
        <f>SUM(O124:R124)</f>
        <v>3</v>
      </c>
      <c r="T124" s="18">
        <f>J124/L124</f>
        <v>26.3</v>
      </c>
      <c r="U124" s="18">
        <f>S124/G124*1000</f>
        <v>1.64744645799012</v>
      </c>
      <c r="V124" s="4">
        <f>Q124+R124</f>
        <v>1</v>
      </c>
      <c r="W124" s="29">
        <f>100*((J124-MIN($J$2:$J$236))/(MAX($J$2:$J$236)-MIN($J$2:$J$236))+(H124-MIN($H$2:$H$236))/(MAX($H$2:$H$236)-MIN($H$2:$H$236))+(1-(K124-MIN($K$2:$K$236))/(MAX($K$2:$K$236)-MIN($K$2:$K$236))))/3</f>
        <v>50.1624573379221</v>
      </c>
      <c r="X124" s="4" t="n">
        <v>2</v>
      </c>
      <c r="Y124" s="4" t="n">
        <v>1</v>
      </c>
      <c r="Z124" s="4" t="n">
        <v>1</v>
      </c>
      <c r="AA124" s="4" t="inlineStr">
        <is>
          <t>No</t>
        </is>
      </c>
      <c r="AB124" s="4" t="str">
        <f>IF(H124&lt;=Complexity!$C$11,"Q1 (lowest)",IF(H124&lt;=Complexity!$C$12,"Q2",IF(H124&lt;=Complexity!$C$13,"Q3","Q4 (highest)")))</f>
        <v>Q4 (highest)</v>
      </c>
      <c r="AC124" s="4" t="str">
        <f>IF(J124&lt;=Churn!$C$11,"Q1 (lowest)",IF(J124&lt;=Churn!$C$12,"Q2",IF(J124&lt;=Churn!$C$13,"Q3","Q4 (highest)")))</f>
        <v>Q1 (lowest)</v>
      </c>
      <c r="AD124" s="4" t="str">
        <f>IF(K124&lt;=40,"&lt;=40%",IF(K124&lt;=60,"40-60%",IF(K124&lt;=80,"60-80%","80%+")))</f>
        <v>&lt;=40%</v>
      </c>
      <c r="AE124" s="4" t="str">
        <f>IF(M124&lt;=2,"1-2",IF(M124&lt;=4,"3-4",IF(M124&lt;=6,"5-6","7+")))</f>
        <v>1-2</v>
      </c>
    </row>
    <row r="125">
      <c r="A125" s="4" t="inlineStr">
        <is>
          <t>payments_fraud</t>
        </is>
      </c>
      <c r="B125" s="4" t="inlineStr">
        <is>
          <t>Payments</t>
        </is>
      </c>
      <c r="C125" s="4" t="inlineStr">
        <is>
          <t>Java</t>
        </is>
      </c>
      <c r="D125" s="4" t="inlineStr">
        <is>
          <t>v2.1</t>
        </is>
      </c>
      <c r="E125" s="40" t="n">
        <v>45706</v>
      </c>
      <c r="F125" s="4" t="n">
        <v>4</v>
      </c>
      <c r="G125" s="4" t="n">
        <v>1821</v>
      </c>
      <c r="H125" s="18" t="n">
        <v>20.06</v>
      </c>
      <c r="I125" s="18" t="n">
        <v>12.59</v>
      </c>
      <c r="J125" s="29" t="n">
        <v>435.9</v>
      </c>
      <c r="K125" s="29" t="n">
        <v>38.2</v>
      </c>
      <c r="L125" s="4" t="n">
        <v>10</v>
      </c>
      <c r="M125" s="4" t="n">
        <v>4</v>
      </c>
      <c r="N125" s="4" t="n">
        <v>770</v>
      </c>
      <c r="O125" s="4" t="n">
        <v>0</v>
      </c>
      <c r="P125" s="4" t="n">
        <v>0</v>
      </c>
      <c r="Q125" s="4" t="n">
        <v>0</v>
      </c>
      <c r="R125" s="4" t="n">
        <v>0</v>
      </c>
      <c r="S125" s="4">
        <f>SUM(O125:R125)</f>
        <v>0</v>
      </c>
      <c r="T125" s="18">
        <f>J125/L125</f>
        <v>43.59</v>
      </c>
      <c r="U125" s="18">
        <f>S125/G125*1000</f>
        <v>0</v>
      </c>
      <c r="V125" s="4">
        <f>Q125+R125</f>
        <v>0</v>
      </c>
      <c r="W125" s="29">
        <f>100*((J125-MIN($J$2:$J$236))/(MAX($J$2:$J$236)-MIN($J$2:$J$236))+(H125-MIN($H$2:$H$236))/(MAX($H$2:$H$236)-MIN($H$2:$H$236))+(1-(K125-MIN($K$2:$K$236))/(MAX($K$2:$K$236)-MIN($K$2:$K$236))))/3</f>
        <v>57.4684963807671</v>
      </c>
      <c r="X125" s="4" t="n">
        <v>3</v>
      </c>
      <c r="Y125" s="4" t="n">
        <v>1</v>
      </c>
      <c r="Z125" s="4" t="n">
        <v>0</v>
      </c>
      <c r="AA125" s="4" t="inlineStr">
        <is>
          <t>No</t>
        </is>
      </c>
      <c r="AB125" s="4" t="str">
        <f>IF(H125&lt;=Complexity!$C$11,"Q1 (lowest)",IF(H125&lt;=Complexity!$C$12,"Q2",IF(H125&lt;=Complexity!$C$13,"Q3","Q4 (highest)")))</f>
        <v>Q4 (highest)</v>
      </c>
      <c r="AC125" s="4" t="str">
        <f>IF(J125&lt;=Churn!$C$11,"Q1 (lowest)",IF(J125&lt;=Churn!$C$12,"Q2",IF(J125&lt;=Churn!$C$13,"Q3","Q4 (highest)")))</f>
        <v>Q4 (highest)</v>
      </c>
      <c r="AD125" s="4" t="str">
        <f>IF(K125&lt;=40,"&lt;=40%",IF(K125&lt;=60,"40-60%",IF(K125&lt;=80,"60-80%","80%+")))</f>
        <v>&lt;=40%</v>
      </c>
      <c r="AE125" s="4" t="str">
        <f>IF(M125&lt;=2,"1-2",IF(M125&lt;=4,"3-4",IF(M125&lt;=6,"5-6","7+")))</f>
        <v>3-4</v>
      </c>
    </row>
    <row r="126">
      <c r="A126" s="4" t="inlineStr">
        <is>
          <t>payments_fraud</t>
        </is>
      </c>
      <c r="B126" s="4" t="inlineStr">
        <is>
          <t>Payments</t>
        </is>
      </c>
      <c r="C126" s="4" t="inlineStr">
        <is>
          <t>Java</t>
        </is>
      </c>
      <c r="D126" s="4" t="inlineStr">
        <is>
          <t>v3.0</t>
        </is>
      </c>
      <c r="E126" s="40" t="n">
        <v>45839</v>
      </c>
      <c r="F126" s="4" t="n">
        <v>5</v>
      </c>
      <c r="G126" s="4" t="n">
        <v>1821</v>
      </c>
      <c r="H126" s="18" t="n">
        <v>20.06</v>
      </c>
      <c r="I126" s="18" t="n">
        <v>15.93</v>
      </c>
      <c r="J126" s="29" t="n">
        <v>454.2</v>
      </c>
      <c r="K126" s="29" t="n">
        <v>30.7</v>
      </c>
      <c r="L126" s="4" t="n">
        <v>10</v>
      </c>
      <c r="M126" s="4" t="n">
        <v>3</v>
      </c>
      <c r="N126" s="4" t="n">
        <v>417</v>
      </c>
      <c r="O126" s="4" t="n">
        <v>0</v>
      </c>
      <c r="P126" s="4" t="n">
        <v>1</v>
      </c>
      <c r="Q126" s="4" t="n">
        <v>0</v>
      </c>
      <c r="R126" s="4" t="n">
        <v>0</v>
      </c>
      <c r="S126" s="4">
        <f>SUM(O126:R126)</f>
        <v>1</v>
      </c>
      <c r="T126" s="18">
        <f>J126/L126</f>
        <v>45.42</v>
      </c>
      <c r="U126" s="18">
        <f>S126/G126*1000</f>
        <v>0.549148819330039</v>
      </c>
      <c r="V126" s="4">
        <f>Q126+R126</f>
        <v>0</v>
      </c>
      <c r="W126" s="29">
        <f>100*((J126-MIN($J$2:$J$236))/(MAX($J$2:$J$236)-MIN($J$2:$J$236))+(H126-MIN($H$2:$H$236))/(MAX($H$2:$H$236)-MIN($H$2:$H$236))+(1-(K126-MIN($K$2:$K$236))/(MAX($K$2:$K$236)-MIN($K$2:$K$236))))/3</f>
        <v>61.3902375494059</v>
      </c>
      <c r="X126" s="4" t="n">
        <v>0</v>
      </c>
      <c r="Y126" s="4" t="n">
        <v>1</v>
      </c>
      <c r="Z126" s="4" t="n">
        <v>0</v>
      </c>
      <c r="AA126" s="4" t="inlineStr">
        <is>
          <t>No</t>
        </is>
      </c>
      <c r="AB126" s="4" t="str">
        <f>IF(H126&lt;=Complexity!$C$11,"Q1 (lowest)",IF(H126&lt;=Complexity!$C$12,"Q2",IF(H126&lt;=Complexity!$C$13,"Q3","Q4 (highest)")))</f>
        <v>Q4 (highest)</v>
      </c>
      <c r="AC126" s="4" t="str">
        <f>IF(J126&lt;=Churn!$C$11,"Q1 (lowest)",IF(J126&lt;=Churn!$C$12,"Q2",IF(J126&lt;=Churn!$C$13,"Q3","Q4 (highest)")))</f>
        <v>Q4 (highest)</v>
      </c>
      <c r="AD126" s="4" t="str">
        <f>IF(K126&lt;=40,"&lt;=40%",IF(K126&lt;=60,"40-60%",IF(K126&lt;=80,"60-80%","80%+")))</f>
        <v>&lt;=40%</v>
      </c>
      <c r="AE126" s="4" t="str">
        <f>IF(M126&lt;=2,"1-2",IF(M126&lt;=4,"3-4",IF(M126&lt;=6,"5-6","7+")))</f>
        <v>3-4</v>
      </c>
    </row>
    <row r="127">
      <c r="A127" s="4" t="inlineStr">
        <is>
          <t>payments_gateway</t>
        </is>
      </c>
      <c r="B127" s="4" t="inlineStr">
        <is>
          <t>Payments</t>
        </is>
      </c>
      <c r="C127" s="4" t="inlineStr">
        <is>
          <t>Java</t>
        </is>
      </c>
      <c r="D127" s="4" t="inlineStr">
        <is>
          <t>v1.0</t>
        </is>
      </c>
      <c r="E127" s="40" t="n">
        <v>45306</v>
      </c>
      <c r="F127" s="4" t="n">
        <v>1</v>
      </c>
      <c r="G127" s="4" t="n">
        <v>1124</v>
      </c>
      <c r="H127" s="18" t="n">
        <v>25.73</v>
      </c>
      <c r="I127" s="18" t="n">
        <v>12.8</v>
      </c>
      <c r="J127" s="29" t="n">
        <v>212.6</v>
      </c>
      <c r="K127" s="29" t="n">
        <v>56.5</v>
      </c>
      <c r="L127" s="4" t="n">
        <v>10</v>
      </c>
      <c r="M127" s="4" t="n">
        <v>3</v>
      </c>
      <c r="N127" s="4" t="n">
        <v>340</v>
      </c>
      <c r="O127" s="4" t="n">
        <v>1</v>
      </c>
      <c r="P127" s="4" t="n">
        <v>1</v>
      </c>
      <c r="Q127" s="4" t="n">
        <v>0</v>
      </c>
      <c r="R127" s="4" t="n">
        <v>0</v>
      </c>
      <c r="S127" s="4">
        <f>SUM(O127:R127)</f>
        <v>2</v>
      </c>
      <c r="T127" s="18">
        <f>J127/L127</f>
        <v>21.26</v>
      </c>
      <c r="U127" s="18">
        <f>S127/G127*1000</f>
        <v>1.77935943060498</v>
      </c>
      <c r="V127" s="4">
        <f>Q127+R127</f>
        <v>0</v>
      </c>
      <c r="W127" s="29">
        <f>100*((J127-MIN($J$2:$J$236))/(MAX($J$2:$J$236)-MIN($J$2:$J$236))+(H127-MIN($H$2:$H$236))/(MAX($H$2:$H$236)-MIN($H$2:$H$236))+(1-(K127-MIN($K$2:$K$236))/(MAX($K$2:$K$236)-MIN($K$2:$K$236))))/3</f>
        <v>49.020198610355</v>
      </c>
      <c r="X127" s="4" t="n">
        <v>0</v>
      </c>
      <c r="Y127" s="4" t="n">
        <v>1</v>
      </c>
      <c r="Z127" s="4" t="n">
        <v>0</v>
      </c>
      <c r="AA127" s="4" t="inlineStr">
        <is>
          <t>Yes</t>
        </is>
      </c>
      <c r="AB127" s="4" t="str">
        <f>IF(H127&lt;=Complexity!$C$11,"Q1 (lowest)",IF(H127&lt;=Complexity!$C$12,"Q2",IF(H127&lt;=Complexity!$C$13,"Q3","Q4 (highest)")))</f>
        <v>Q4 (highest)</v>
      </c>
      <c r="AC127" s="4" t="str">
        <f>IF(J127&lt;=Churn!$C$11,"Q1 (lowest)",IF(J127&lt;=Churn!$C$12,"Q2",IF(J127&lt;=Churn!$C$13,"Q3","Q4 (highest)")))</f>
        <v>Q2</v>
      </c>
      <c r="AD127" s="4" t="str">
        <f>IF(K127&lt;=40,"&lt;=40%",IF(K127&lt;=60,"40-60%",IF(K127&lt;=80,"60-80%","80%+")))</f>
        <v>40-60%</v>
      </c>
      <c r="AE127" s="4" t="str">
        <f>IF(M127&lt;=2,"1-2",IF(M127&lt;=4,"3-4",IF(M127&lt;=6,"5-6","7+")))</f>
        <v>3-4</v>
      </c>
    </row>
    <row r="128">
      <c r="A128" s="4" t="inlineStr">
        <is>
          <t>payments_gateway</t>
        </is>
      </c>
      <c r="B128" s="4" t="inlineStr">
        <is>
          <t>Payments</t>
        </is>
      </c>
      <c r="C128" s="4" t="inlineStr">
        <is>
          <t>Java</t>
        </is>
      </c>
      <c r="D128" s="4" t="inlineStr">
        <is>
          <t>v1.1</t>
        </is>
      </c>
      <c r="E128" s="40" t="n">
        <v>45432</v>
      </c>
      <c r="F128" s="4" t="n">
        <v>2</v>
      </c>
      <c r="G128" s="4" t="n">
        <v>1124</v>
      </c>
      <c r="H128" s="18" t="n">
        <v>25.73</v>
      </c>
      <c r="I128" s="18" t="n">
        <v>15.3</v>
      </c>
      <c r="J128" s="29" t="n">
        <v>384.5</v>
      </c>
      <c r="K128" s="29" t="n">
        <v>55.5</v>
      </c>
      <c r="L128" s="4" t="n">
        <v>12</v>
      </c>
      <c r="M128" s="4" t="n">
        <v>3</v>
      </c>
      <c r="N128" s="4" t="n">
        <v>669</v>
      </c>
      <c r="O128" s="4" t="n">
        <v>0</v>
      </c>
      <c r="P128" s="4" t="n">
        <v>1</v>
      </c>
      <c r="Q128" s="4" t="n">
        <v>0</v>
      </c>
      <c r="R128" s="4" t="n">
        <v>0</v>
      </c>
      <c r="S128" s="4">
        <f>SUM(O128:R128)</f>
        <v>1</v>
      </c>
      <c r="T128" s="18">
        <f>J128/L128</f>
        <v>32.0416666666667</v>
      </c>
      <c r="U128" s="18">
        <f>S128/G128*1000</f>
        <v>0.889679715302491</v>
      </c>
      <c r="V128" s="4">
        <f>Q128+R128</f>
        <v>0</v>
      </c>
      <c r="W128" s="29">
        <f>100*((J128-MIN($J$2:$J$236))/(MAX($J$2:$J$236)-MIN($J$2:$J$236))+(H128-MIN($H$2:$H$236))/(MAX($H$2:$H$236)-MIN($H$2:$H$236))+(1-(K128-MIN($K$2:$K$236))/(MAX($K$2:$K$236)-MIN($K$2:$K$236))))/3</f>
        <v>54.1895288440985</v>
      </c>
      <c r="X128" s="4" t="n">
        <v>2</v>
      </c>
      <c r="Y128" s="4" t="n">
        <v>1</v>
      </c>
      <c r="Z128" s="4" t="n">
        <v>0</v>
      </c>
      <c r="AA128" s="4" t="inlineStr">
        <is>
          <t>No</t>
        </is>
      </c>
      <c r="AB128" s="4" t="str">
        <f>IF(H128&lt;=Complexity!$C$11,"Q1 (lowest)",IF(H128&lt;=Complexity!$C$12,"Q2",IF(H128&lt;=Complexity!$C$13,"Q3","Q4 (highest)")))</f>
        <v>Q4 (highest)</v>
      </c>
      <c r="AC128" s="4" t="str">
        <f>IF(J128&lt;=Churn!$C$11,"Q1 (lowest)",IF(J128&lt;=Churn!$C$12,"Q2",IF(J128&lt;=Churn!$C$13,"Q3","Q4 (highest)")))</f>
        <v>Q3</v>
      </c>
      <c r="AD128" s="4" t="str">
        <f>IF(K128&lt;=40,"&lt;=40%",IF(K128&lt;=60,"40-60%",IF(K128&lt;=80,"60-80%","80%+")))</f>
        <v>40-60%</v>
      </c>
      <c r="AE128" s="4" t="str">
        <f>IF(M128&lt;=2,"1-2",IF(M128&lt;=4,"3-4",IF(M128&lt;=6,"5-6","7+")))</f>
        <v>3-4</v>
      </c>
    </row>
    <row r="129">
      <c r="A129" s="4" t="inlineStr">
        <is>
          <t>payments_gateway</t>
        </is>
      </c>
      <c r="B129" s="4" t="inlineStr">
        <is>
          <t>Payments</t>
        </is>
      </c>
      <c r="C129" s="4" t="inlineStr">
        <is>
          <t>Java</t>
        </is>
      </c>
      <c r="D129" s="4" t="inlineStr">
        <is>
          <t>v2.0</t>
        </is>
      </c>
      <c r="E129" s="40" t="n">
        <v>45545</v>
      </c>
      <c r="F129" s="4" t="n">
        <v>3</v>
      </c>
      <c r="G129" s="4" t="n">
        <v>1124</v>
      </c>
      <c r="H129" s="18" t="n">
        <v>31.75</v>
      </c>
      <c r="I129" s="18" t="n">
        <v>16.08</v>
      </c>
      <c r="J129" s="29" t="n">
        <v>378.1</v>
      </c>
      <c r="K129" s="29" t="n">
        <v>57.9</v>
      </c>
      <c r="L129" s="4" t="n">
        <v>11</v>
      </c>
      <c r="M129" s="4" t="n">
        <v>3</v>
      </c>
      <c r="N129" s="4" t="n">
        <v>527</v>
      </c>
      <c r="O129" s="4" t="n">
        <v>0</v>
      </c>
      <c r="P129" s="4" t="n">
        <v>0</v>
      </c>
      <c r="Q129" s="4" t="n">
        <v>3</v>
      </c>
      <c r="R129" s="4" t="n">
        <v>0</v>
      </c>
      <c r="S129" s="4">
        <f>SUM(O129:R129)</f>
        <v>3</v>
      </c>
      <c r="T129" s="18">
        <f>J129/L129</f>
        <v>34.3727272727273</v>
      </c>
      <c r="U129" s="18">
        <f>S129/G129*1000</f>
        <v>2.66903914590747</v>
      </c>
      <c r="V129" s="4">
        <f>Q129+R129</f>
        <v>3</v>
      </c>
      <c r="W129" s="29">
        <f>100*((J129-MIN($J$2:$J$236))/(MAX($J$2:$J$236)-MIN($J$2:$J$236))+(H129-MIN($H$2:$H$236))/(MAX($H$2:$H$236)-MIN($H$2:$H$236))+(1-(K129-MIN($K$2:$K$236))/(MAX($K$2:$K$236)-MIN($K$2:$K$236))))/3</f>
        <v>59.3103138836055</v>
      </c>
      <c r="X129" s="4" t="n">
        <v>1</v>
      </c>
      <c r="Y129" s="4" t="n">
        <v>1</v>
      </c>
      <c r="Z129" s="4" t="n">
        <v>1</v>
      </c>
      <c r="AA129" s="4" t="inlineStr">
        <is>
          <t>No</t>
        </is>
      </c>
      <c r="AB129" s="4" t="str">
        <f>IF(H129&lt;=Complexity!$C$11,"Q1 (lowest)",IF(H129&lt;=Complexity!$C$12,"Q2",IF(H129&lt;=Complexity!$C$13,"Q3","Q4 (highest)")))</f>
        <v>Q4 (highest)</v>
      </c>
      <c r="AC129" s="4" t="str">
        <f>IF(J129&lt;=Churn!$C$11,"Q1 (lowest)",IF(J129&lt;=Churn!$C$12,"Q2",IF(J129&lt;=Churn!$C$13,"Q3","Q4 (highest)")))</f>
        <v>Q3</v>
      </c>
      <c r="AD129" s="4" t="str">
        <f>IF(K129&lt;=40,"&lt;=40%",IF(K129&lt;=60,"40-60%",IF(K129&lt;=80,"60-80%","80%+")))</f>
        <v>40-60%</v>
      </c>
      <c r="AE129" s="4" t="str">
        <f>IF(M129&lt;=2,"1-2",IF(M129&lt;=4,"3-4",IF(M129&lt;=6,"5-6","7+")))</f>
        <v>3-4</v>
      </c>
    </row>
    <row r="130">
      <c r="A130" s="4" t="inlineStr">
        <is>
          <t>payments_gateway</t>
        </is>
      </c>
      <c r="B130" s="4" t="inlineStr">
        <is>
          <t>Payments</t>
        </is>
      </c>
      <c r="C130" s="4" t="inlineStr">
        <is>
          <t>Java</t>
        </is>
      </c>
      <c r="D130" s="4" t="inlineStr">
        <is>
          <t>v2.1</t>
        </is>
      </c>
      <c r="E130" s="40" t="n">
        <v>45706</v>
      </c>
      <c r="F130" s="4" t="n">
        <v>4</v>
      </c>
      <c r="G130" s="4" t="n">
        <v>1124</v>
      </c>
      <c r="H130" s="18" t="n">
        <v>25.73</v>
      </c>
      <c r="I130" s="18" t="n">
        <v>12.51</v>
      </c>
      <c r="J130" s="29" t="n">
        <v>66.3</v>
      </c>
      <c r="K130" s="29" t="n">
        <v>60</v>
      </c>
      <c r="L130" s="4" t="n">
        <v>1</v>
      </c>
      <c r="M130" s="4" t="n">
        <v>1</v>
      </c>
      <c r="N130" s="4" t="n">
        <v>103</v>
      </c>
      <c r="O130" s="4" t="n">
        <v>0</v>
      </c>
      <c r="P130" s="4" t="n">
        <v>0</v>
      </c>
      <c r="Q130" s="4" t="n">
        <v>0</v>
      </c>
      <c r="R130" s="4" t="n">
        <v>0</v>
      </c>
      <c r="S130" s="4">
        <f>SUM(O130:R130)</f>
        <v>0</v>
      </c>
      <c r="T130" s="18">
        <f>J130/L130</f>
        <v>66.3</v>
      </c>
      <c r="U130" s="18">
        <f>S130/G130*1000</f>
        <v>0</v>
      </c>
      <c r="V130" s="4">
        <f>Q130+R130</f>
        <v>0</v>
      </c>
      <c r="W130" s="29">
        <f>100*((J130-MIN($J$2:$J$236))/(MAX($J$2:$J$236)-MIN($J$2:$J$236))+(H130-MIN($H$2:$H$236))/(MAX($H$2:$H$236)-MIN($H$2:$H$236))+(1-(K130-MIN($K$2:$K$236))/(MAX($K$2:$K$236)-MIN($K$2:$K$236))))/3</f>
        <v>43.4128050554211</v>
      </c>
      <c r="X130" s="4" t="n">
        <v>3</v>
      </c>
      <c r="Y130" s="4" t="n">
        <v>1</v>
      </c>
      <c r="Z130" s="4" t="n">
        <v>0</v>
      </c>
      <c r="AA130" s="4" t="inlineStr">
        <is>
          <t>Yes</t>
        </is>
      </c>
      <c r="AB130" s="4" t="str">
        <f>IF(H130&lt;=Complexity!$C$11,"Q1 (lowest)",IF(H130&lt;=Complexity!$C$12,"Q2",IF(H130&lt;=Complexity!$C$13,"Q3","Q4 (highest)")))</f>
        <v>Q4 (highest)</v>
      </c>
      <c r="AC130" s="4" t="str">
        <f>IF(J130&lt;=Churn!$C$11,"Q1 (lowest)",IF(J130&lt;=Churn!$C$12,"Q2",IF(J130&lt;=Churn!$C$13,"Q3","Q4 (highest)")))</f>
        <v>Q1 (lowest)</v>
      </c>
      <c r="AD130" s="4" t="str">
        <f>IF(K130&lt;=40,"&lt;=40%",IF(K130&lt;=60,"40-60%",IF(K130&lt;=80,"60-80%","80%+")))</f>
        <v>40-60%</v>
      </c>
      <c r="AE130" s="4" t="str">
        <f>IF(M130&lt;=2,"1-2",IF(M130&lt;=4,"3-4",IF(M130&lt;=6,"5-6","7+")))</f>
        <v>1-2</v>
      </c>
    </row>
    <row r="131">
      <c r="A131" s="4" t="inlineStr">
        <is>
          <t>payments_gateway</t>
        </is>
      </c>
      <c r="B131" s="4" t="inlineStr">
        <is>
          <t>Payments</t>
        </is>
      </c>
      <c r="C131" s="4" t="inlineStr">
        <is>
          <t>Java</t>
        </is>
      </c>
      <c r="D131" s="4" t="inlineStr">
        <is>
          <t>v3.0</t>
        </is>
      </c>
      <c r="E131" s="40" t="n">
        <v>45839</v>
      </c>
      <c r="F131" s="4" t="n">
        <v>5</v>
      </c>
      <c r="G131" s="4" t="n">
        <v>1124</v>
      </c>
      <c r="H131" s="18" t="n">
        <v>22.8</v>
      </c>
      <c r="I131" s="18" t="n">
        <v>15.93</v>
      </c>
      <c r="J131" s="29" t="n">
        <v>326.7</v>
      </c>
      <c r="K131" s="29" t="n">
        <v>65.40000000000001</v>
      </c>
      <c r="L131" s="4" t="n">
        <v>10</v>
      </c>
      <c r="M131" s="4" t="n">
        <v>4</v>
      </c>
      <c r="N131" s="4" t="n">
        <v>538</v>
      </c>
      <c r="O131" s="4" t="n">
        <v>1</v>
      </c>
      <c r="P131" s="4" t="n">
        <v>0</v>
      </c>
      <c r="Q131" s="4" t="n">
        <v>0</v>
      </c>
      <c r="R131" s="4" t="n">
        <v>0</v>
      </c>
      <c r="S131" s="4">
        <f>SUM(O131:R131)</f>
        <v>1</v>
      </c>
      <c r="T131" s="18">
        <f>J131/L131</f>
        <v>32.67</v>
      </c>
      <c r="U131" s="18">
        <f>S131/G131*1000</f>
        <v>0.889679715302491</v>
      </c>
      <c r="V131" s="4">
        <f>Q131+R131</f>
        <v>0</v>
      </c>
      <c r="W131" s="29">
        <f>100*((J131-MIN($J$2:$J$236))/(MAX($J$2:$J$236)-MIN($J$2:$J$236))+(H131-MIN($H$2:$H$236))/(MAX($H$2:$H$236)-MIN($H$2:$H$236))+(1-(K131-MIN($K$2:$K$236))/(MAX($K$2:$K$236)-MIN($K$2:$K$236))))/3</f>
        <v>44.9799407454428</v>
      </c>
      <c r="X131" s="4" t="n">
        <v>0</v>
      </c>
      <c r="Y131" s="4" t="n">
        <v>1</v>
      </c>
      <c r="Z131" s="4" t="n">
        <v>0</v>
      </c>
      <c r="AA131" s="4" t="inlineStr">
        <is>
          <t>No</t>
        </is>
      </c>
      <c r="AB131" s="4" t="str">
        <f>IF(H131&lt;=Complexity!$C$11,"Q1 (lowest)",IF(H131&lt;=Complexity!$C$12,"Q2",IF(H131&lt;=Complexity!$C$13,"Q3","Q4 (highest)")))</f>
        <v>Q4 (highest)</v>
      </c>
      <c r="AC131" s="4" t="str">
        <f>IF(J131&lt;=Churn!$C$11,"Q1 (lowest)",IF(J131&lt;=Churn!$C$12,"Q2",IF(J131&lt;=Churn!$C$13,"Q3","Q4 (highest)")))</f>
        <v>Q3</v>
      </c>
      <c r="AD131" s="4" t="str">
        <f>IF(K131&lt;=40,"&lt;=40%",IF(K131&lt;=60,"40-60%",IF(K131&lt;=80,"60-80%","80%+")))</f>
        <v>60-80%</v>
      </c>
      <c r="AE131" s="4" t="str">
        <f>IF(M131&lt;=2,"1-2",IF(M131&lt;=4,"3-4",IF(M131&lt;=6,"5-6","7+")))</f>
        <v>3-4</v>
      </c>
    </row>
    <row r="132">
      <c r="A132" s="4" t="inlineStr">
        <is>
          <t>payments_invoice</t>
        </is>
      </c>
      <c r="B132" s="4" t="inlineStr">
        <is>
          <t>Payments</t>
        </is>
      </c>
      <c r="C132" s="4" t="inlineStr">
        <is>
          <t>C++</t>
        </is>
      </c>
      <c r="D132" s="4" t="inlineStr">
        <is>
          <t>v1.0</t>
        </is>
      </c>
      <c r="E132" s="40" t="n">
        <v>45306</v>
      </c>
      <c r="F132" s="4" t="n">
        <v>1</v>
      </c>
      <c r="G132" s="4" t="n">
        <v>2645</v>
      </c>
      <c r="H132" s="18" t="n">
        <v>25.38</v>
      </c>
      <c r="I132" s="18" t="n">
        <v>15.69</v>
      </c>
      <c r="J132" s="29" t="n">
        <v>308.3</v>
      </c>
      <c r="K132" s="29" t="n">
        <v>60.5</v>
      </c>
      <c r="L132" s="4" t="n">
        <v>14</v>
      </c>
      <c r="M132" s="4" t="n">
        <v>5</v>
      </c>
      <c r="N132" s="4" t="n">
        <v>348</v>
      </c>
      <c r="O132" s="4" t="n">
        <v>0</v>
      </c>
      <c r="P132" s="4" t="n">
        <v>0</v>
      </c>
      <c r="Q132" s="4" t="n">
        <v>0</v>
      </c>
      <c r="R132" s="4" t="n">
        <v>0</v>
      </c>
      <c r="S132" s="4">
        <f>SUM(O132:R132)</f>
        <v>0</v>
      </c>
      <c r="T132" s="18">
        <f>J132/L132</f>
        <v>22.0214285714286</v>
      </c>
      <c r="U132" s="18">
        <f>S132/G132*1000</f>
        <v>0</v>
      </c>
      <c r="V132" s="4">
        <f>Q132+R132</f>
        <v>0</v>
      </c>
      <c r="W132" s="29">
        <f>100*((J132-MIN($J$2:$J$236))/(MAX($J$2:$J$236)-MIN($J$2:$J$236))+(H132-MIN($H$2:$H$236))/(MAX($H$2:$H$236)-MIN($H$2:$H$236))+(1-(K132-MIN($K$2:$K$236))/(MAX($K$2:$K$236)-MIN($K$2:$K$236))))/3</f>
        <v>49.4486659406238</v>
      </c>
      <c r="X132" s="4" t="n">
        <v>0</v>
      </c>
      <c r="Y132" s="4" t="n">
        <v>1</v>
      </c>
      <c r="Z132" s="4" t="n">
        <v>0</v>
      </c>
      <c r="AA132" s="4" t="inlineStr">
        <is>
          <t>No</t>
        </is>
      </c>
      <c r="AB132" s="4" t="str">
        <f>IF(H132&lt;=Complexity!$C$11,"Q1 (lowest)",IF(H132&lt;=Complexity!$C$12,"Q2",IF(H132&lt;=Complexity!$C$13,"Q3","Q4 (highest)")))</f>
        <v>Q4 (highest)</v>
      </c>
      <c r="AC132" s="4" t="str">
        <f>IF(J132&lt;=Churn!$C$11,"Q1 (lowest)",IF(J132&lt;=Churn!$C$12,"Q2",IF(J132&lt;=Churn!$C$13,"Q3","Q4 (highest)")))</f>
        <v>Q3</v>
      </c>
      <c r="AD132" s="4" t="str">
        <f>IF(K132&lt;=40,"&lt;=40%",IF(K132&lt;=60,"40-60%",IF(K132&lt;=80,"60-80%","80%+")))</f>
        <v>60-80%</v>
      </c>
      <c r="AE132" s="4" t="str">
        <f>IF(M132&lt;=2,"1-2",IF(M132&lt;=4,"3-4",IF(M132&lt;=6,"5-6","7+")))</f>
        <v>5-6</v>
      </c>
    </row>
    <row r="133">
      <c r="A133" s="4" t="inlineStr">
        <is>
          <t>payments_invoice</t>
        </is>
      </c>
      <c r="B133" s="4" t="inlineStr">
        <is>
          <t>Payments</t>
        </is>
      </c>
      <c r="C133" s="4" t="inlineStr">
        <is>
          <t>C++</t>
        </is>
      </c>
      <c r="D133" s="4" t="inlineStr">
        <is>
          <t>v1.1</t>
        </is>
      </c>
      <c r="E133" s="40" t="n">
        <v>45432</v>
      </c>
      <c r="F133" s="4" t="n">
        <v>2</v>
      </c>
      <c r="G133" s="4" t="n">
        <v>2645</v>
      </c>
      <c r="H133" s="18" t="n">
        <v>22.93</v>
      </c>
      <c r="I133" s="18" t="n">
        <v>13.24</v>
      </c>
      <c r="J133" s="29" t="n">
        <v>520</v>
      </c>
      <c r="K133" s="29" t="n">
        <v>58</v>
      </c>
      <c r="L133" s="4" t="n">
        <v>22</v>
      </c>
      <c r="M133" s="4" t="n">
        <v>6</v>
      </c>
      <c r="N133" s="4" t="n">
        <v>804</v>
      </c>
      <c r="O133" s="4" t="n">
        <v>1</v>
      </c>
      <c r="P133" s="4" t="n">
        <v>0</v>
      </c>
      <c r="Q133" s="4" t="n">
        <v>2</v>
      </c>
      <c r="R133" s="4" t="n">
        <v>0</v>
      </c>
      <c r="S133" s="4">
        <f>SUM(O133:R133)</f>
        <v>3</v>
      </c>
      <c r="T133" s="18">
        <f>J133/L133</f>
        <v>23.6363636363636</v>
      </c>
      <c r="U133" s="18">
        <f>S133/G133*1000</f>
        <v>1.13421550094518</v>
      </c>
      <c r="V133" s="4">
        <f>Q133+R133</f>
        <v>2</v>
      </c>
      <c r="W133" s="29">
        <f>100*((J133-MIN($J$2:$J$236))/(MAX($J$2:$J$236)-MIN($J$2:$J$236))+(H133-MIN($H$2:$H$236))/(MAX($H$2:$H$236)-MIN($H$2:$H$236))+(1-(K133-MIN($K$2:$K$236))/(MAX($K$2:$K$236)-MIN($K$2:$K$236))))/3</f>
        <v>53.7924194472107</v>
      </c>
      <c r="X133" s="4" t="n">
        <v>0</v>
      </c>
      <c r="Y133" s="4" t="n">
        <v>1</v>
      </c>
      <c r="Z133" s="4" t="n">
        <v>1</v>
      </c>
      <c r="AA133" s="4" t="inlineStr">
        <is>
          <t>No</t>
        </is>
      </c>
      <c r="AB133" s="4" t="str">
        <f>IF(H133&lt;=Complexity!$C$11,"Q1 (lowest)",IF(H133&lt;=Complexity!$C$12,"Q2",IF(H133&lt;=Complexity!$C$13,"Q3","Q4 (highest)")))</f>
        <v>Q4 (highest)</v>
      </c>
      <c r="AC133" s="4" t="str">
        <f>IF(J133&lt;=Churn!$C$11,"Q1 (lowest)",IF(J133&lt;=Churn!$C$12,"Q2",IF(J133&lt;=Churn!$C$13,"Q3","Q4 (highest)")))</f>
        <v>Q4 (highest)</v>
      </c>
      <c r="AD133" s="4" t="str">
        <f>IF(K133&lt;=40,"&lt;=40%",IF(K133&lt;=60,"40-60%",IF(K133&lt;=80,"60-80%","80%+")))</f>
        <v>40-60%</v>
      </c>
      <c r="AE133" s="4" t="str">
        <f>IF(M133&lt;=2,"1-2",IF(M133&lt;=4,"3-4",IF(M133&lt;=6,"5-6","7+")))</f>
        <v>5-6</v>
      </c>
    </row>
    <row r="134">
      <c r="A134" s="4" t="inlineStr">
        <is>
          <t>payments_invoice</t>
        </is>
      </c>
      <c r="B134" s="4" t="inlineStr">
        <is>
          <t>Payments</t>
        </is>
      </c>
      <c r="C134" s="4" t="inlineStr">
        <is>
          <t>C++</t>
        </is>
      </c>
      <c r="D134" s="4" t="inlineStr">
        <is>
          <t>v2.0</t>
        </is>
      </c>
      <c r="E134" s="40" t="n">
        <v>45545</v>
      </c>
      <c r="F134" s="4" t="n">
        <v>3</v>
      </c>
      <c r="G134" s="4" t="n">
        <v>2645</v>
      </c>
      <c r="H134" s="18" t="n">
        <v>22.93</v>
      </c>
      <c r="I134" s="18" t="n">
        <v>13.51</v>
      </c>
      <c r="J134" s="29" t="n">
        <v>395.5</v>
      </c>
      <c r="K134" s="29" t="n">
        <v>66</v>
      </c>
      <c r="L134" s="4" t="n">
        <v>11</v>
      </c>
      <c r="M134" s="4" t="n">
        <v>4</v>
      </c>
      <c r="N134" s="4" t="n">
        <v>574</v>
      </c>
      <c r="O134" s="4" t="n">
        <v>2</v>
      </c>
      <c r="P134" s="4" t="n">
        <v>0</v>
      </c>
      <c r="Q134" s="4" t="n">
        <v>1</v>
      </c>
      <c r="R134" s="4" t="n">
        <v>0</v>
      </c>
      <c r="S134" s="4">
        <f>SUM(O134:R134)</f>
        <v>3</v>
      </c>
      <c r="T134" s="18">
        <f>J134/L134</f>
        <v>35.9545454545455</v>
      </c>
      <c r="U134" s="18">
        <f>S134/G134*1000</f>
        <v>1.13421550094518</v>
      </c>
      <c r="V134" s="4">
        <f>Q134+R134</f>
        <v>1</v>
      </c>
      <c r="W134" s="29">
        <f>100*((J134-MIN($J$2:$J$236))/(MAX($J$2:$J$236)-MIN($J$2:$J$236))+(H134-MIN($H$2:$H$236))/(MAX($H$2:$H$236)-MIN($H$2:$H$236))+(1-(K134-MIN($K$2:$K$236))/(MAX($K$2:$K$236)-MIN($K$2:$K$236))))/3</f>
        <v>46.7307774950062</v>
      </c>
      <c r="X134" s="4" t="n">
        <v>3</v>
      </c>
      <c r="Y134" s="4" t="n">
        <v>1</v>
      </c>
      <c r="Z134" s="4" t="n">
        <v>1</v>
      </c>
      <c r="AA134" s="4" t="inlineStr">
        <is>
          <t>No</t>
        </is>
      </c>
      <c r="AB134" s="4" t="str">
        <f>IF(H134&lt;=Complexity!$C$11,"Q1 (lowest)",IF(H134&lt;=Complexity!$C$12,"Q2",IF(H134&lt;=Complexity!$C$13,"Q3","Q4 (highest)")))</f>
        <v>Q4 (highest)</v>
      </c>
      <c r="AC134" s="4" t="str">
        <f>IF(J134&lt;=Churn!$C$11,"Q1 (lowest)",IF(J134&lt;=Churn!$C$12,"Q2",IF(J134&lt;=Churn!$C$13,"Q3","Q4 (highest)")))</f>
        <v>Q3</v>
      </c>
      <c r="AD134" s="4" t="str">
        <f>IF(K134&lt;=40,"&lt;=40%",IF(K134&lt;=60,"40-60%",IF(K134&lt;=80,"60-80%","80%+")))</f>
        <v>60-80%</v>
      </c>
      <c r="AE134" s="4" t="str">
        <f>IF(M134&lt;=2,"1-2",IF(M134&lt;=4,"3-4",IF(M134&lt;=6,"5-6","7+")))</f>
        <v>3-4</v>
      </c>
    </row>
    <row r="135">
      <c r="A135" s="4" t="inlineStr">
        <is>
          <t>payments_invoice</t>
        </is>
      </c>
      <c r="B135" s="4" t="inlineStr">
        <is>
          <t>Payments</t>
        </is>
      </c>
      <c r="C135" s="4" t="inlineStr">
        <is>
          <t>C++</t>
        </is>
      </c>
      <c r="D135" s="4" t="inlineStr">
        <is>
          <t>v2.1</t>
        </is>
      </c>
      <c r="E135" s="40" t="n">
        <v>45706</v>
      </c>
      <c r="F135" s="4" t="n">
        <v>4</v>
      </c>
      <c r="G135" s="4" t="n">
        <v>2645</v>
      </c>
      <c r="H135" s="18" t="n">
        <v>22.93</v>
      </c>
      <c r="I135" s="18" t="n">
        <v>12.12</v>
      </c>
      <c r="J135" s="29" t="n">
        <v>323.6</v>
      </c>
      <c r="K135" s="29" t="n">
        <v>58.1</v>
      </c>
      <c r="L135" s="4" t="n">
        <v>12</v>
      </c>
      <c r="M135" s="4" t="n">
        <v>3</v>
      </c>
      <c r="N135" s="4" t="n">
        <v>361</v>
      </c>
      <c r="O135" s="4" t="n">
        <v>0</v>
      </c>
      <c r="P135" s="4" t="n">
        <v>1</v>
      </c>
      <c r="Q135" s="4" t="n">
        <v>1</v>
      </c>
      <c r="R135" s="4" t="n">
        <v>0</v>
      </c>
      <c r="S135" s="4">
        <f>SUM(O135:R135)</f>
        <v>2</v>
      </c>
      <c r="T135" s="18">
        <f>J135/L135</f>
        <v>26.9666666666667</v>
      </c>
      <c r="U135" s="18">
        <f>S135/G135*1000</f>
        <v>0.756143667296786</v>
      </c>
      <c r="V135" s="4">
        <f>Q135+R135</f>
        <v>1</v>
      </c>
      <c r="W135" s="29">
        <f>100*((J135-MIN($J$2:$J$236))/(MAX($J$2:$J$236)-MIN($J$2:$J$236))+(H135-MIN($H$2:$H$236))/(MAX($H$2:$H$236)-MIN($H$2:$H$236))+(1-(K135-MIN($K$2:$K$236))/(MAX($K$2:$K$236)-MIN($K$2:$K$236))))/3</f>
        <v>48.3617193212069</v>
      </c>
      <c r="X135" s="4" t="n">
        <v>3</v>
      </c>
      <c r="Y135" s="4" t="n">
        <v>1</v>
      </c>
      <c r="Z135" s="4" t="n">
        <v>0</v>
      </c>
      <c r="AA135" s="4" t="inlineStr">
        <is>
          <t>Yes</t>
        </is>
      </c>
      <c r="AB135" s="4" t="str">
        <f>IF(H135&lt;=Complexity!$C$11,"Q1 (lowest)",IF(H135&lt;=Complexity!$C$12,"Q2",IF(H135&lt;=Complexity!$C$13,"Q3","Q4 (highest)")))</f>
        <v>Q4 (highest)</v>
      </c>
      <c r="AC135" s="4" t="str">
        <f>IF(J135&lt;=Churn!$C$11,"Q1 (lowest)",IF(J135&lt;=Churn!$C$12,"Q2",IF(J135&lt;=Churn!$C$13,"Q3","Q4 (highest)")))</f>
        <v>Q3</v>
      </c>
      <c r="AD135" s="4" t="str">
        <f>IF(K135&lt;=40,"&lt;=40%",IF(K135&lt;=60,"40-60%",IF(K135&lt;=80,"60-80%","80%+")))</f>
        <v>40-60%</v>
      </c>
      <c r="AE135" s="4" t="str">
        <f>IF(M135&lt;=2,"1-2",IF(M135&lt;=4,"3-4",IF(M135&lt;=6,"5-6","7+")))</f>
        <v>3-4</v>
      </c>
    </row>
    <row r="136">
      <c r="A136" s="4" t="inlineStr">
        <is>
          <t>payments_invoice</t>
        </is>
      </c>
      <c r="B136" s="4" t="inlineStr">
        <is>
          <t>Payments</t>
        </is>
      </c>
      <c r="C136" s="4" t="inlineStr">
        <is>
          <t>C++</t>
        </is>
      </c>
      <c r="D136" s="4" t="inlineStr">
        <is>
          <t>v3.0</t>
        </is>
      </c>
      <c r="E136" s="40" t="n">
        <v>45839</v>
      </c>
      <c r="F136" s="4" t="n">
        <v>5</v>
      </c>
      <c r="G136" s="4" t="n">
        <v>2645</v>
      </c>
      <c r="H136" s="18" t="n">
        <v>16.67</v>
      </c>
      <c r="I136" s="18" t="n">
        <v>11.37</v>
      </c>
      <c r="J136" s="29" t="n">
        <v>309.1</v>
      </c>
      <c r="K136" s="29" t="n">
        <v>63.8</v>
      </c>
      <c r="L136" s="4" t="n">
        <v>7</v>
      </c>
      <c r="M136" s="4" t="n">
        <v>3</v>
      </c>
      <c r="N136" s="4" t="n">
        <v>443</v>
      </c>
      <c r="O136" s="4" t="n">
        <v>2</v>
      </c>
      <c r="P136" s="4" t="n">
        <v>1</v>
      </c>
      <c r="Q136" s="4" t="n">
        <v>1</v>
      </c>
      <c r="R136" s="4" t="n">
        <v>0</v>
      </c>
      <c r="S136" s="4">
        <f>SUM(O136:R136)</f>
        <v>4</v>
      </c>
      <c r="T136" s="18">
        <f>J136/L136</f>
        <v>44.1571428571429</v>
      </c>
      <c r="U136" s="18">
        <f>S136/G136*1000</f>
        <v>1.51228733459357</v>
      </c>
      <c r="V136" s="4">
        <f>Q136+R136</f>
        <v>1</v>
      </c>
      <c r="W136" s="29">
        <f>100*((J136-MIN($J$2:$J$236))/(MAX($J$2:$J$236)-MIN($J$2:$J$236))+(H136-MIN($H$2:$H$236))/(MAX($H$2:$H$236)-MIN($H$2:$H$236))+(1-(K136-MIN($K$2:$K$236))/(MAX($K$2:$K$236)-MIN($K$2:$K$236))))/3</f>
        <v>38.719528714081</v>
      </c>
      <c r="X136" s="4" t="n">
        <v>2</v>
      </c>
      <c r="Y136" s="4" t="n">
        <v>1</v>
      </c>
      <c r="Z136" s="4" t="n">
        <v>1</v>
      </c>
      <c r="AA136" s="4" t="inlineStr">
        <is>
          <t>No</t>
        </is>
      </c>
      <c r="AB136" s="4" t="str">
        <f>IF(H136&lt;=Complexity!$C$11,"Q1 (lowest)",IF(H136&lt;=Complexity!$C$12,"Q2",IF(H136&lt;=Complexity!$C$13,"Q3","Q4 (highest)")))</f>
        <v>Q3</v>
      </c>
      <c r="AC136" s="4" t="str">
        <f>IF(J136&lt;=Churn!$C$11,"Q1 (lowest)",IF(J136&lt;=Churn!$C$12,"Q2",IF(J136&lt;=Churn!$C$13,"Q3","Q4 (highest)")))</f>
        <v>Q3</v>
      </c>
      <c r="AD136" s="4" t="str">
        <f>IF(K136&lt;=40,"&lt;=40%",IF(K136&lt;=60,"40-60%",IF(K136&lt;=80,"60-80%","80%+")))</f>
        <v>60-80%</v>
      </c>
      <c r="AE136" s="4" t="str">
        <f>IF(M136&lt;=2,"1-2",IF(M136&lt;=4,"3-4",IF(M136&lt;=6,"5-6","7+")))</f>
        <v>3-4</v>
      </c>
    </row>
    <row r="137">
      <c r="A137" s="4" t="inlineStr">
        <is>
          <t>payments_refund</t>
        </is>
      </c>
      <c r="B137" s="4" t="inlineStr">
        <is>
          <t>Payments</t>
        </is>
      </c>
      <c r="C137" s="4" t="inlineStr">
        <is>
          <t>Java</t>
        </is>
      </c>
      <c r="D137" s="4" t="inlineStr">
        <is>
          <t>v1.0</t>
        </is>
      </c>
      <c r="E137" s="40" t="n">
        <v>45306</v>
      </c>
      <c r="F137" s="4" t="n">
        <v>1</v>
      </c>
      <c r="G137" s="4" t="n">
        <v>2493</v>
      </c>
      <c r="H137" s="18" t="n">
        <v>14.63</v>
      </c>
      <c r="I137" s="18" t="n">
        <v>8.23</v>
      </c>
      <c r="J137" s="29" t="n">
        <v>138.4</v>
      </c>
      <c r="K137" s="29" t="n">
        <v>86.2</v>
      </c>
      <c r="L137" s="4" t="n">
        <v>3</v>
      </c>
      <c r="M137" s="4" t="n">
        <v>2</v>
      </c>
      <c r="N137" s="4" t="n">
        <v>223</v>
      </c>
      <c r="O137" s="4" t="n">
        <v>0</v>
      </c>
      <c r="P137" s="4" t="n">
        <v>0</v>
      </c>
      <c r="Q137" s="4" t="n">
        <v>1</v>
      </c>
      <c r="R137" s="4" t="n">
        <v>0</v>
      </c>
      <c r="S137" s="4">
        <f>SUM(O137:R137)</f>
        <v>1</v>
      </c>
      <c r="T137" s="18">
        <f>J137/L137</f>
        <v>46.1333333333333</v>
      </c>
      <c r="U137" s="18">
        <f>S137/G137*1000</f>
        <v>0.401123144805455</v>
      </c>
      <c r="V137" s="4">
        <f>Q137+R137</f>
        <v>1</v>
      </c>
      <c r="W137" s="29">
        <f>100*((J137-MIN($J$2:$J$236))/(MAX($J$2:$J$236)-MIN($J$2:$J$236))+(H137-MIN($H$2:$H$236))/(MAX($H$2:$H$236)-MIN($H$2:$H$236))+(1-(K137-MIN($K$2:$K$236))/(MAX($K$2:$K$236)-MIN($K$2:$K$236))))/3</f>
        <v>21.6591743056942</v>
      </c>
      <c r="X137" s="4" t="n">
        <v>0</v>
      </c>
      <c r="Y137" s="4" t="n">
        <v>0</v>
      </c>
      <c r="Z137" s="4" t="n">
        <v>0</v>
      </c>
      <c r="AA137" s="4" t="inlineStr">
        <is>
          <t>No</t>
        </is>
      </c>
      <c r="AB137" s="4" t="str">
        <f>IF(H137&lt;=Complexity!$C$11,"Q1 (lowest)",IF(H137&lt;=Complexity!$C$12,"Q2",IF(H137&lt;=Complexity!$C$13,"Q3","Q4 (highest)")))</f>
        <v>Q2</v>
      </c>
      <c r="AC137" s="4" t="str">
        <f>IF(J137&lt;=Churn!$C$11,"Q1 (lowest)",IF(J137&lt;=Churn!$C$12,"Q2",IF(J137&lt;=Churn!$C$13,"Q3","Q4 (highest)")))</f>
        <v>Q1 (lowest)</v>
      </c>
      <c r="AD137" s="4" t="str">
        <f>IF(K137&lt;=40,"&lt;=40%",IF(K137&lt;=60,"40-60%",IF(K137&lt;=80,"60-80%","80%+")))</f>
        <v>80%+</v>
      </c>
      <c r="AE137" s="4" t="str">
        <f>IF(M137&lt;=2,"1-2",IF(M137&lt;=4,"3-4",IF(M137&lt;=6,"5-6","7+")))</f>
        <v>1-2</v>
      </c>
    </row>
    <row r="138">
      <c r="A138" s="4" t="inlineStr">
        <is>
          <t>payments_refund</t>
        </is>
      </c>
      <c r="B138" s="4" t="inlineStr">
        <is>
          <t>Payments</t>
        </is>
      </c>
      <c r="C138" s="4" t="inlineStr">
        <is>
          <t>Java</t>
        </is>
      </c>
      <c r="D138" s="4" t="inlineStr">
        <is>
          <t>v1.1</t>
        </is>
      </c>
      <c r="E138" s="40" t="n">
        <v>45432</v>
      </c>
      <c r="F138" s="4" t="n">
        <v>2</v>
      </c>
      <c r="G138" s="4" t="n">
        <v>2493</v>
      </c>
      <c r="H138" s="18" t="n">
        <v>3.68</v>
      </c>
      <c r="I138" s="18" t="n">
        <v>3.1</v>
      </c>
      <c r="J138" s="29" t="n">
        <v>192.1</v>
      </c>
      <c r="K138" s="29" t="n">
        <v>78.65000000000001</v>
      </c>
      <c r="L138" s="4" t="n">
        <v>6</v>
      </c>
      <c r="M138" s="4" t="n">
        <v>3</v>
      </c>
      <c r="N138" s="4" t="n">
        <v>266</v>
      </c>
      <c r="O138" s="4" t="n">
        <v>0</v>
      </c>
      <c r="P138" s="4" t="n">
        <v>0</v>
      </c>
      <c r="Q138" s="4" t="n">
        <v>0</v>
      </c>
      <c r="R138" s="4" t="n">
        <v>1</v>
      </c>
      <c r="S138" s="4">
        <f>SUM(O138:R138)</f>
        <v>1</v>
      </c>
      <c r="T138" s="18">
        <f>J138/L138</f>
        <v>32.0166666666667</v>
      </c>
      <c r="U138" s="18">
        <f>S138/G138*1000</f>
        <v>0.401123144805455</v>
      </c>
      <c r="V138" s="4">
        <f>Q138+R138</f>
        <v>1</v>
      </c>
      <c r="W138" s="29">
        <f>100*((J138-MIN($J$2:$J$236))/(MAX($J$2:$J$236)-MIN($J$2:$J$236))+(H138-MIN($H$2:$H$236))/(MAX($H$2:$H$236)-MIN($H$2:$H$236))+(1-(K138-MIN($K$2:$K$236))/(MAX($K$2:$K$236)-MIN($K$2:$K$236))))/3</f>
        <v>14.9501456727954</v>
      </c>
      <c r="X138" s="4" t="n">
        <v>1</v>
      </c>
      <c r="Y138" s="4" t="n">
        <v>0</v>
      </c>
      <c r="Z138" s="4" t="n">
        <v>0</v>
      </c>
      <c r="AA138" s="4" t="inlineStr">
        <is>
          <t>No</t>
        </is>
      </c>
      <c r="AB138" s="4" t="str">
        <f>IF(H138&lt;=Complexity!$C$11,"Q1 (lowest)",IF(H138&lt;=Complexity!$C$12,"Q2",IF(H138&lt;=Complexity!$C$13,"Q3","Q4 (highest)")))</f>
        <v>Q1 (lowest)</v>
      </c>
      <c r="AC138" s="4" t="str">
        <f>IF(J138&lt;=Churn!$C$11,"Q1 (lowest)",IF(J138&lt;=Churn!$C$12,"Q2",IF(J138&lt;=Churn!$C$13,"Q3","Q4 (highest)")))</f>
        <v>Q2</v>
      </c>
      <c r="AD138" s="4" t="str">
        <f>IF(K138&lt;=40,"&lt;=40%",IF(K138&lt;=60,"40-60%",IF(K138&lt;=80,"60-80%","80%+")))</f>
        <v>60-80%</v>
      </c>
      <c r="AE138" s="4" t="str">
        <f>IF(M138&lt;=2,"1-2",IF(M138&lt;=4,"3-4",IF(M138&lt;=6,"5-6","7+")))</f>
        <v>3-4</v>
      </c>
    </row>
    <row r="139">
      <c r="A139" s="4" t="inlineStr">
        <is>
          <t>payments_refund</t>
        </is>
      </c>
      <c r="B139" s="4" t="inlineStr">
        <is>
          <t>Payments</t>
        </is>
      </c>
      <c r="C139" s="4" t="inlineStr">
        <is>
          <t>Java</t>
        </is>
      </c>
      <c r="D139" s="4" t="inlineStr">
        <is>
          <t>v2.0</t>
        </is>
      </c>
      <c r="E139" s="40" t="n">
        <v>45545</v>
      </c>
      <c r="F139" s="4" t="n">
        <v>3</v>
      </c>
      <c r="G139" s="4" t="n">
        <v>2493</v>
      </c>
      <c r="H139" s="18" t="n">
        <v>6.76</v>
      </c>
      <c r="I139" s="18" t="n">
        <v>5.77</v>
      </c>
      <c r="J139" s="29" t="n">
        <v>367.8</v>
      </c>
      <c r="K139" s="29" t="n">
        <v>79.3</v>
      </c>
      <c r="L139" s="4" t="n">
        <v>14</v>
      </c>
      <c r="M139" s="4" t="n">
        <v>3</v>
      </c>
      <c r="N139" s="4" t="n">
        <v>432</v>
      </c>
      <c r="O139" s="4" t="n">
        <v>1</v>
      </c>
      <c r="P139" s="4" t="n">
        <v>0</v>
      </c>
      <c r="Q139" s="4" t="n">
        <v>0</v>
      </c>
      <c r="R139" s="4" t="n">
        <v>0</v>
      </c>
      <c r="S139" s="4">
        <f>SUM(O139:R139)</f>
        <v>1</v>
      </c>
      <c r="T139" s="18">
        <f>J139/L139</f>
        <v>26.2714285714286</v>
      </c>
      <c r="U139" s="18">
        <f>S139/G139*1000</f>
        <v>0.401123144805455</v>
      </c>
      <c r="V139" s="4">
        <f>Q139+R139</f>
        <v>0</v>
      </c>
      <c r="W139" s="29">
        <f>100*((J139-MIN($J$2:$J$236))/(MAX($J$2:$J$236)-MIN($J$2:$J$236))+(H139-MIN($H$2:$H$236))/(MAX($H$2:$H$236)-MIN($H$2:$H$236))+(1-(K139-MIN($K$2:$K$236))/(MAX($K$2:$K$236)-MIN($K$2:$K$236))))/3</f>
        <v>22.7409133635297</v>
      </c>
      <c r="X139" s="4" t="n">
        <v>1</v>
      </c>
      <c r="Y139" s="4" t="n">
        <v>0</v>
      </c>
      <c r="Z139" s="4" t="n">
        <v>0</v>
      </c>
      <c r="AA139" s="4" t="inlineStr">
        <is>
          <t>No</t>
        </is>
      </c>
      <c r="AB139" s="4" t="str">
        <f>IF(H139&lt;=Complexity!$C$11,"Q1 (lowest)",IF(H139&lt;=Complexity!$C$12,"Q2",IF(H139&lt;=Complexity!$C$13,"Q3","Q4 (highest)")))</f>
        <v>Q1 (lowest)</v>
      </c>
      <c r="AC139" s="4" t="str">
        <f>IF(J139&lt;=Churn!$C$11,"Q1 (lowest)",IF(J139&lt;=Churn!$C$12,"Q2",IF(J139&lt;=Churn!$C$13,"Q3","Q4 (highest)")))</f>
        <v>Q3</v>
      </c>
      <c r="AD139" s="4" t="str">
        <f>IF(K139&lt;=40,"&lt;=40%",IF(K139&lt;=60,"40-60%",IF(K139&lt;=80,"60-80%","80%+")))</f>
        <v>60-80%</v>
      </c>
      <c r="AE139" s="4" t="str">
        <f>IF(M139&lt;=2,"1-2",IF(M139&lt;=4,"3-4",IF(M139&lt;=6,"5-6","7+")))</f>
        <v>3-4</v>
      </c>
    </row>
    <row r="140">
      <c r="A140" s="4" t="inlineStr">
        <is>
          <t>payments_refund</t>
        </is>
      </c>
      <c r="B140" s="4" t="inlineStr">
        <is>
          <t>Payments</t>
        </is>
      </c>
      <c r="C140" s="4" t="inlineStr">
        <is>
          <t>Java</t>
        </is>
      </c>
      <c r="D140" s="4" t="inlineStr">
        <is>
          <t>v2.1</t>
        </is>
      </c>
      <c r="E140" s="40" t="n">
        <v>45706</v>
      </c>
      <c r="F140" s="4" t="n">
        <v>4</v>
      </c>
      <c r="G140" s="4" t="n">
        <v>2493</v>
      </c>
      <c r="H140" s="18" t="n">
        <v>9.98</v>
      </c>
      <c r="I140" s="18" t="n">
        <v>6.88</v>
      </c>
      <c r="J140" s="29" t="n">
        <v>92.90000000000001</v>
      </c>
      <c r="K140" s="29" t="n">
        <v>78</v>
      </c>
      <c r="L140" s="4" t="n">
        <v>4</v>
      </c>
      <c r="M140" s="4" t="n">
        <v>2</v>
      </c>
      <c r="N140" s="4" t="n">
        <v>157</v>
      </c>
      <c r="O140" s="4" t="n">
        <v>0</v>
      </c>
      <c r="P140" s="4" t="n">
        <v>0</v>
      </c>
      <c r="Q140" s="4" t="n">
        <v>0</v>
      </c>
      <c r="R140" s="4" t="n">
        <v>0</v>
      </c>
      <c r="S140" s="4">
        <f>SUM(O140:R140)</f>
        <v>0</v>
      </c>
      <c r="T140" s="18">
        <f>J140/L140</f>
        <v>23.225</v>
      </c>
      <c r="U140" s="18">
        <f>S140/G140*1000</f>
        <v>0</v>
      </c>
      <c r="V140" s="4">
        <f>Q140+R140</f>
        <v>0</v>
      </c>
      <c r="W140" s="29">
        <f>100*((J140-MIN($J$2:$J$236))/(MAX($J$2:$J$236)-MIN($J$2:$J$236))+(H140-MIN($H$2:$H$236))/(MAX($H$2:$H$236)-MIN($H$2:$H$236))+(1-(K140-MIN($K$2:$K$236))/(MAX($K$2:$K$236)-MIN($K$2:$K$236))))/3</f>
        <v>19.2144721001171</v>
      </c>
      <c r="X140" s="4" t="n">
        <v>1</v>
      </c>
      <c r="Y140" s="4" t="n">
        <v>0</v>
      </c>
      <c r="Z140" s="4" t="n">
        <v>0</v>
      </c>
      <c r="AA140" s="4" t="inlineStr">
        <is>
          <t>No</t>
        </is>
      </c>
      <c r="AB140" s="4" t="str">
        <f>IF(H140&lt;=Complexity!$C$11,"Q1 (lowest)",IF(H140&lt;=Complexity!$C$12,"Q2",IF(H140&lt;=Complexity!$C$13,"Q3","Q4 (highest)")))</f>
        <v>Q1 (lowest)</v>
      </c>
      <c r="AC140" s="4" t="str">
        <f>IF(J140&lt;=Churn!$C$11,"Q1 (lowest)",IF(J140&lt;=Churn!$C$12,"Q2",IF(J140&lt;=Churn!$C$13,"Q3","Q4 (highest)")))</f>
        <v>Q1 (lowest)</v>
      </c>
      <c r="AD140" s="4" t="str">
        <f>IF(K140&lt;=40,"&lt;=40%",IF(K140&lt;=60,"40-60%",IF(K140&lt;=80,"60-80%","80%+")))</f>
        <v>60-80%</v>
      </c>
      <c r="AE140" s="4" t="str">
        <f>IF(M140&lt;=2,"1-2",IF(M140&lt;=4,"3-4",IF(M140&lt;=6,"5-6","7+")))</f>
        <v>1-2</v>
      </c>
    </row>
    <row r="141">
      <c r="A141" s="4" t="inlineStr">
        <is>
          <t>payments_refund</t>
        </is>
      </c>
      <c r="B141" s="4" t="inlineStr">
        <is>
          <t>Payments</t>
        </is>
      </c>
      <c r="C141" s="4" t="inlineStr">
        <is>
          <t>Java</t>
        </is>
      </c>
      <c r="D141" s="4" t="inlineStr">
        <is>
          <t>v3.0</t>
        </is>
      </c>
      <c r="E141" s="40" t="n">
        <v>45839</v>
      </c>
      <c r="F141" s="4" t="n">
        <v>5</v>
      </c>
      <c r="G141" s="4" t="n">
        <v>2493</v>
      </c>
      <c r="H141" s="18" t="n">
        <v>9.449999999999999</v>
      </c>
      <c r="I141" s="18" t="n">
        <v>7.01</v>
      </c>
      <c r="J141" s="29" t="n">
        <v>352.4</v>
      </c>
      <c r="K141" s="29" t="n">
        <v>74.09999999999999</v>
      </c>
      <c r="L141" s="4" t="n">
        <v>10</v>
      </c>
      <c r="M141" s="4" t="n">
        <v>3</v>
      </c>
      <c r="N141" s="4" t="n">
        <v>598</v>
      </c>
      <c r="O141" s="4" t="n">
        <v>0</v>
      </c>
      <c r="P141" s="4" t="n">
        <v>0</v>
      </c>
      <c r="Q141" s="4" t="n">
        <v>0</v>
      </c>
      <c r="R141" s="4" t="n">
        <v>0</v>
      </c>
      <c r="S141" s="4">
        <f>SUM(O141:R141)</f>
        <v>0</v>
      </c>
      <c r="T141" s="18">
        <f>J141/L141</f>
        <v>35.24</v>
      </c>
      <c r="U141" s="18">
        <f>S141/G141*1000</f>
        <v>0</v>
      </c>
      <c r="V141" s="4">
        <f>Q141+R141</f>
        <v>0</v>
      </c>
      <c r="W141" s="29">
        <f>100*((J141-MIN($J$2:$J$236))/(MAX($J$2:$J$236)-MIN($J$2:$J$236))+(H141-MIN($H$2:$H$236))/(MAX($H$2:$H$236)-MIN($H$2:$H$236))+(1-(K141-MIN($K$2:$K$236))/(MAX($K$2:$K$236)-MIN($K$2:$K$236))))/3</f>
        <v>27.5454674239052</v>
      </c>
      <c r="X141" s="4" t="n">
        <v>0</v>
      </c>
      <c r="Y141" s="4" t="n">
        <v>0</v>
      </c>
      <c r="Z141" s="4" t="n">
        <v>0</v>
      </c>
      <c r="AA141" s="4" t="inlineStr">
        <is>
          <t>No</t>
        </is>
      </c>
      <c r="AB141" s="4" t="str">
        <f>IF(H141&lt;=Complexity!$C$11,"Q1 (lowest)",IF(H141&lt;=Complexity!$C$12,"Q2",IF(H141&lt;=Complexity!$C$13,"Q3","Q4 (highest)")))</f>
        <v>Q1 (lowest)</v>
      </c>
      <c r="AC141" s="4" t="str">
        <f>IF(J141&lt;=Churn!$C$11,"Q1 (lowest)",IF(J141&lt;=Churn!$C$12,"Q2",IF(J141&lt;=Churn!$C$13,"Q3","Q4 (highest)")))</f>
        <v>Q3</v>
      </c>
      <c r="AD141" s="4" t="str">
        <f>IF(K141&lt;=40,"&lt;=40%",IF(K141&lt;=60,"40-60%",IF(K141&lt;=80,"60-80%","80%+")))</f>
        <v>60-80%</v>
      </c>
      <c r="AE141" s="4" t="str">
        <f>IF(M141&lt;=2,"1-2",IF(M141&lt;=4,"3-4",IF(M141&lt;=6,"5-6","7+")))</f>
        <v>3-4</v>
      </c>
    </row>
    <row r="142">
      <c r="A142" s="4" t="inlineStr">
        <is>
          <t>payments_subscription</t>
        </is>
      </c>
      <c r="B142" s="4" t="inlineStr">
        <is>
          <t>Payments</t>
        </is>
      </c>
      <c r="C142" s="4" t="inlineStr">
        <is>
          <t>C++</t>
        </is>
      </c>
      <c r="D142" s="4" t="inlineStr">
        <is>
          <t>v1.0</t>
        </is>
      </c>
      <c r="E142" s="40" t="n">
        <v>45306</v>
      </c>
      <c r="F142" s="4" t="n">
        <v>1</v>
      </c>
      <c r="G142" s="4" t="n">
        <v>4161</v>
      </c>
      <c r="H142" s="18" t="n">
        <v>14.19</v>
      </c>
      <c r="I142" s="18" t="n">
        <v>9.98</v>
      </c>
      <c r="J142" s="29" t="n">
        <v>111.8</v>
      </c>
      <c r="K142" s="29" t="n">
        <v>66.5</v>
      </c>
      <c r="L142" s="4" t="n">
        <v>3</v>
      </c>
      <c r="M142" s="4" t="n">
        <v>2</v>
      </c>
      <c r="N142" s="4" t="n">
        <v>174</v>
      </c>
      <c r="O142" s="4" t="n">
        <v>0</v>
      </c>
      <c r="P142" s="4" t="n">
        <v>1</v>
      </c>
      <c r="Q142" s="4" t="n">
        <v>0</v>
      </c>
      <c r="R142" s="4" t="n">
        <v>0</v>
      </c>
      <c r="S142" s="4">
        <f>SUM(O142:R142)</f>
        <v>1</v>
      </c>
      <c r="T142" s="18">
        <f>J142/L142</f>
        <v>37.2666666666667</v>
      </c>
      <c r="U142" s="18">
        <f>S142/G142*1000</f>
        <v>0.240326844508532</v>
      </c>
      <c r="V142" s="4">
        <f>Q142+R142</f>
        <v>0</v>
      </c>
      <c r="W142" s="29">
        <f>100*((J142-MIN($J$2:$J$236))/(MAX($J$2:$J$236)-MIN($J$2:$J$236))+(H142-MIN($H$2:$H$236))/(MAX($H$2:$H$236)-MIN($H$2:$H$236))+(1-(K142-MIN($K$2:$K$236))/(MAX($K$2:$K$236)-MIN($K$2:$K$236))))/3</f>
        <v>29.4458645414011</v>
      </c>
      <c r="X142" s="4" t="n">
        <v>0</v>
      </c>
      <c r="Y142" s="4" t="n">
        <v>0</v>
      </c>
      <c r="Z142" s="4" t="n">
        <v>0</v>
      </c>
      <c r="AA142" s="4" t="inlineStr">
        <is>
          <t>No</t>
        </is>
      </c>
      <c r="AB142" s="4" t="str">
        <f>IF(H142&lt;=Complexity!$C$11,"Q1 (lowest)",IF(H142&lt;=Complexity!$C$12,"Q2",IF(H142&lt;=Complexity!$C$13,"Q3","Q4 (highest)")))</f>
        <v>Q2</v>
      </c>
      <c r="AC142" s="4" t="str">
        <f>IF(J142&lt;=Churn!$C$11,"Q1 (lowest)",IF(J142&lt;=Churn!$C$12,"Q2",IF(J142&lt;=Churn!$C$13,"Q3","Q4 (highest)")))</f>
        <v>Q1 (lowest)</v>
      </c>
      <c r="AD142" s="4" t="str">
        <f>IF(K142&lt;=40,"&lt;=40%",IF(K142&lt;=60,"40-60%",IF(K142&lt;=80,"60-80%","80%+")))</f>
        <v>60-80%</v>
      </c>
      <c r="AE142" s="4" t="str">
        <f>IF(M142&lt;=2,"1-2",IF(M142&lt;=4,"3-4",IF(M142&lt;=6,"5-6","7+")))</f>
        <v>1-2</v>
      </c>
    </row>
    <row r="143">
      <c r="A143" s="4" t="inlineStr">
        <is>
          <t>payments_subscription</t>
        </is>
      </c>
      <c r="B143" s="4" t="inlineStr">
        <is>
          <t>Payments</t>
        </is>
      </c>
      <c r="C143" s="4" t="inlineStr">
        <is>
          <t>C++</t>
        </is>
      </c>
      <c r="D143" s="4" t="inlineStr">
        <is>
          <t>v1.1</t>
        </is>
      </c>
      <c r="E143" s="40" t="n">
        <v>45432</v>
      </c>
      <c r="F143" s="4" t="n">
        <v>2</v>
      </c>
      <c r="G143" s="4" t="n">
        <v>4161</v>
      </c>
      <c r="H143" s="18" t="n">
        <v>17.04</v>
      </c>
      <c r="I143" s="18" t="n">
        <v>13.79</v>
      </c>
      <c r="J143" s="29" t="n">
        <v>486.6</v>
      </c>
      <c r="K143" s="29" t="n">
        <v>65.90000000000001</v>
      </c>
      <c r="L143" s="4" t="n">
        <v>16</v>
      </c>
      <c r="M143" s="4" t="n">
        <v>4</v>
      </c>
      <c r="N143" s="4" t="n">
        <v>765</v>
      </c>
      <c r="O143" s="4" t="n">
        <v>0</v>
      </c>
      <c r="P143" s="4" t="n">
        <v>2</v>
      </c>
      <c r="Q143" s="4" t="n">
        <v>0</v>
      </c>
      <c r="R143" s="4" t="n">
        <v>0</v>
      </c>
      <c r="S143" s="4">
        <f>SUM(O143:R143)</f>
        <v>2</v>
      </c>
      <c r="T143" s="18">
        <f>J143/L143</f>
        <v>30.4125</v>
      </c>
      <c r="U143" s="18">
        <f>S143/G143*1000</f>
        <v>0.480653689017063</v>
      </c>
      <c r="V143" s="4">
        <f>Q143+R143</f>
        <v>0</v>
      </c>
      <c r="W143" s="29">
        <f>100*((J143-MIN($J$2:$J$236))/(MAX($J$2:$J$236)-MIN($J$2:$J$236))+(H143-MIN($H$2:$H$236))/(MAX($H$2:$H$236)-MIN($H$2:$H$236))+(1-(K143-MIN($K$2:$K$236))/(MAX($K$2:$K$236)-MIN($K$2:$K$236))))/3</f>
        <v>43.0215982263876</v>
      </c>
      <c r="X143" s="4" t="n">
        <v>1</v>
      </c>
      <c r="Y143" s="4" t="n">
        <v>0</v>
      </c>
      <c r="Z143" s="4" t="n">
        <v>0</v>
      </c>
      <c r="AA143" s="4" t="inlineStr">
        <is>
          <t>No</t>
        </is>
      </c>
      <c r="AB143" s="4" t="str">
        <f>IF(H143&lt;=Complexity!$C$11,"Q1 (lowest)",IF(H143&lt;=Complexity!$C$12,"Q2",IF(H143&lt;=Complexity!$C$13,"Q3","Q4 (highest)")))</f>
        <v>Q3</v>
      </c>
      <c r="AC143" s="4" t="str">
        <f>IF(J143&lt;=Churn!$C$11,"Q1 (lowest)",IF(J143&lt;=Churn!$C$12,"Q2",IF(J143&lt;=Churn!$C$13,"Q3","Q4 (highest)")))</f>
        <v>Q4 (highest)</v>
      </c>
      <c r="AD143" s="4" t="str">
        <f>IF(K143&lt;=40,"&lt;=40%",IF(K143&lt;=60,"40-60%",IF(K143&lt;=80,"60-80%","80%+")))</f>
        <v>60-80%</v>
      </c>
      <c r="AE143" s="4" t="str">
        <f>IF(M143&lt;=2,"1-2",IF(M143&lt;=4,"3-4",IF(M143&lt;=6,"5-6","7+")))</f>
        <v>3-4</v>
      </c>
    </row>
    <row r="144">
      <c r="A144" s="4" t="inlineStr">
        <is>
          <t>payments_subscription</t>
        </is>
      </c>
      <c r="B144" s="4" t="inlineStr">
        <is>
          <t>Payments</t>
        </is>
      </c>
      <c r="C144" s="4" t="inlineStr">
        <is>
          <t>C++</t>
        </is>
      </c>
      <c r="D144" s="4" t="inlineStr">
        <is>
          <t>v2.0</t>
        </is>
      </c>
      <c r="E144" s="40" t="n">
        <v>45545</v>
      </c>
      <c r="F144" s="4" t="n">
        <v>3</v>
      </c>
      <c r="G144" s="4" t="n">
        <v>4161</v>
      </c>
      <c r="H144" s="18" t="n">
        <v>10.32</v>
      </c>
      <c r="I144" s="18" t="n">
        <v>8.01</v>
      </c>
      <c r="J144" s="29" t="n">
        <v>188.65</v>
      </c>
      <c r="K144" s="29" t="n">
        <v>67.5</v>
      </c>
      <c r="L144" s="4" t="n">
        <v>10</v>
      </c>
      <c r="M144" s="4" t="n">
        <v>3</v>
      </c>
      <c r="N144" s="4" t="n">
        <v>350</v>
      </c>
      <c r="O144" s="4" t="n">
        <v>0</v>
      </c>
      <c r="P144" s="4" t="n">
        <v>0</v>
      </c>
      <c r="Q144" s="4" t="n">
        <v>0</v>
      </c>
      <c r="R144" s="4" t="n">
        <v>1</v>
      </c>
      <c r="S144" s="4">
        <f>SUM(O144:R144)</f>
        <v>1</v>
      </c>
      <c r="T144" s="18">
        <f>J144/L144</f>
        <v>18.865</v>
      </c>
      <c r="U144" s="18">
        <f>S144/G144*1000</f>
        <v>0.240326844508532</v>
      </c>
      <c r="V144" s="4">
        <f>Q144+R144</f>
        <v>1</v>
      </c>
      <c r="W144" s="29">
        <f>100*((J144-MIN($J$2:$J$236))/(MAX($J$2:$J$236)-MIN($J$2:$J$236))+(H144-MIN($H$2:$H$236))/(MAX($H$2:$H$236)-MIN($H$2:$H$236))+(1-(K144-MIN($K$2:$K$236))/(MAX($K$2:$K$236)-MIN($K$2:$K$236))))/3</f>
        <v>26.9887415635055</v>
      </c>
      <c r="X144" s="4" t="n">
        <v>2</v>
      </c>
      <c r="Y144" s="4" t="n">
        <v>0</v>
      </c>
      <c r="Z144" s="4" t="n">
        <v>0</v>
      </c>
      <c r="AA144" s="4" t="inlineStr">
        <is>
          <t>No</t>
        </is>
      </c>
      <c r="AB144" s="4" t="str">
        <f>IF(H144&lt;=Complexity!$C$11,"Q1 (lowest)",IF(H144&lt;=Complexity!$C$12,"Q2",IF(H144&lt;=Complexity!$C$13,"Q3","Q4 (highest)")))</f>
        <v>Q1 (lowest)</v>
      </c>
      <c r="AC144" s="4" t="str">
        <f>IF(J144&lt;=Churn!$C$11,"Q1 (lowest)",IF(J144&lt;=Churn!$C$12,"Q2",IF(J144&lt;=Churn!$C$13,"Q3","Q4 (highest)")))</f>
        <v>Q2</v>
      </c>
      <c r="AD144" s="4" t="str">
        <f>IF(K144&lt;=40,"&lt;=40%",IF(K144&lt;=60,"40-60%",IF(K144&lt;=80,"60-80%","80%+")))</f>
        <v>60-80%</v>
      </c>
      <c r="AE144" s="4" t="str">
        <f>IF(M144&lt;=2,"1-2",IF(M144&lt;=4,"3-4",IF(M144&lt;=6,"5-6","7+")))</f>
        <v>3-4</v>
      </c>
    </row>
    <row r="145">
      <c r="A145" s="4" t="inlineStr">
        <is>
          <t>payments_subscription</t>
        </is>
      </c>
      <c r="B145" s="4" t="inlineStr">
        <is>
          <t>Payments</t>
        </is>
      </c>
      <c r="C145" s="4" t="inlineStr">
        <is>
          <t>C++</t>
        </is>
      </c>
      <c r="D145" s="4" t="inlineStr">
        <is>
          <t>v2.1</t>
        </is>
      </c>
      <c r="E145" s="40" t="n">
        <v>45706</v>
      </c>
      <c r="F145" s="4" t="n">
        <v>4</v>
      </c>
      <c r="G145" s="4" t="n">
        <v>4161</v>
      </c>
      <c r="H145" s="18" t="n">
        <v>14.79</v>
      </c>
      <c r="I145" s="18" t="n">
        <v>11.2</v>
      </c>
      <c r="J145" s="29" t="n">
        <v>106.2</v>
      </c>
      <c r="K145" s="29" t="n">
        <v>79.59999999999999</v>
      </c>
      <c r="L145" s="4" t="n">
        <v>2</v>
      </c>
      <c r="M145" s="4" t="n">
        <v>2</v>
      </c>
      <c r="N145" s="4" t="n">
        <v>132</v>
      </c>
      <c r="O145" s="4" t="n">
        <v>0</v>
      </c>
      <c r="P145" s="4" t="n">
        <v>0</v>
      </c>
      <c r="Q145" s="4" t="n">
        <v>0</v>
      </c>
      <c r="R145" s="4" t="n">
        <v>0</v>
      </c>
      <c r="S145" s="4">
        <f>SUM(O145:R145)</f>
        <v>0</v>
      </c>
      <c r="T145" s="18">
        <f>J145/L145</f>
        <v>53.1</v>
      </c>
      <c r="U145" s="18">
        <f>S145/G145*1000</f>
        <v>0</v>
      </c>
      <c r="V145" s="4">
        <f>Q145+R145</f>
        <v>0</v>
      </c>
      <c r="W145" s="29">
        <f>100*((J145-MIN($J$2:$J$236))/(MAX($J$2:$J$236)-MIN($J$2:$J$236))+(H145-MIN($H$2:$H$236))/(MAX($H$2:$H$236)-MIN($H$2:$H$236))+(1-(K145-MIN($K$2:$K$236))/(MAX($K$2:$K$236)-MIN($K$2:$K$236))))/3</f>
        <v>23.9557083514725</v>
      </c>
      <c r="X145" s="4" t="n">
        <v>1</v>
      </c>
      <c r="Y145" s="4" t="n">
        <v>0</v>
      </c>
      <c r="Z145" s="4" t="n">
        <v>0</v>
      </c>
      <c r="AA145" s="4" t="inlineStr">
        <is>
          <t>No</t>
        </is>
      </c>
      <c r="AB145" s="4" t="str">
        <f>IF(H145&lt;=Complexity!$C$11,"Q1 (lowest)",IF(H145&lt;=Complexity!$C$12,"Q2",IF(H145&lt;=Complexity!$C$13,"Q3","Q4 (highest)")))</f>
        <v>Q2</v>
      </c>
      <c r="AC145" s="4" t="str">
        <f>IF(J145&lt;=Churn!$C$11,"Q1 (lowest)",IF(J145&lt;=Churn!$C$12,"Q2",IF(J145&lt;=Churn!$C$13,"Q3","Q4 (highest)")))</f>
        <v>Q1 (lowest)</v>
      </c>
      <c r="AD145" s="4" t="str">
        <f>IF(K145&lt;=40,"&lt;=40%",IF(K145&lt;=60,"40-60%",IF(K145&lt;=80,"60-80%","80%+")))</f>
        <v>60-80%</v>
      </c>
      <c r="AE145" s="4" t="str">
        <f>IF(M145&lt;=2,"1-2",IF(M145&lt;=4,"3-4",IF(M145&lt;=6,"5-6","7+")))</f>
        <v>1-2</v>
      </c>
    </row>
    <row r="146">
      <c r="A146" s="4" t="inlineStr">
        <is>
          <t>payments_subscription</t>
        </is>
      </c>
      <c r="B146" s="4" t="inlineStr">
        <is>
          <t>Payments</t>
        </is>
      </c>
      <c r="C146" s="4" t="inlineStr">
        <is>
          <t>C++</t>
        </is>
      </c>
      <c r="D146" s="4" t="inlineStr">
        <is>
          <t>v3.0</t>
        </is>
      </c>
      <c r="E146" s="40" t="n">
        <v>45839</v>
      </c>
      <c r="F146" s="4" t="n">
        <v>5</v>
      </c>
      <c r="G146" s="4" t="n">
        <v>4161</v>
      </c>
      <c r="H146" s="18" t="n">
        <v>8.470000000000001</v>
      </c>
      <c r="I146" s="18" t="n">
        <v>7.87</v>
      </c>
      <c r="J146" s="29" t="n">
        <v>265.5</v>
      </c>
      <c r="K146" s="29" t="n">
        <v>78.3</v>
      </c>
      <c r="L146" s="4" t="n">
        <v>7</v>
      </c>
      <c r="M146" s="4" t="n">
        <v>3</v>
      </c>
      <c r="N146" s="4" t="n">
        <v>397</v>
      </c>
      <c r="O146" s="4" t="n">
        <v>0</v>
      </c>
      <c r="P146" s="4" t="n">
        <v>0</v>
      </c>
      <c r="Q146" s="4" t="n">
        <v>0</v>
      </c>
      <c r="R146" s="4" t="n">
        <v>0</v>
      </c>
      <c r="S146" s="4">
        <f>SUM(O146:R146)</f>
        <v>0</v>
      </c>
      <c r="T146" s="18">
        <f>J146/L146</f>
        <v>37.9285714285714</v>
      </c>
      <c r="U146" s="18">
        <f>S146/G146*1000</f>
        <v>0</v>
      </c>
      <c r="V146" s="4">
        <f>Q146+R146</f>
        <v>0</v>
      </c>
      <c r="W146" s="29">
        <f>100*((J146-MIN($J$2:$J$236))/(MAX($J$2:$J$236)-MIN($J$2:$J$236))+(H146-MIN($H$2:$H$236))/(MAX($H$2:$H$236)-MIN($H$2:$H$236))+(1-(K146-MIN($K$2:$K$236))/(MAX($K$2:$K$236)-MIN($K$2:$K$236))))/3</f>
        <v>22.20722800876</v>
      </c>
      <c r="X146" s="4" t="n">
        <v>0</v>
      </c>
      <c r="Y146" s="4" t="n">
        <v>0</v>
      </c>
      <c r="Z146" s="4" t="n">
        <v>0</v>
      </c>
      <c r="AA146" s="4" t="inlineStr">
        <is>
          <t>No</t>
        </is>
      </c>
      <c r="AB146" s="4" t="str">
        <f>IF(H146&lt;=Complexity!$C$11,"Q1 (lowest)",IF(H146&lt;=Complexity!$C$12,"Q2",IF(H146&lt;=Complexity!$C$13,"Q3","Q4 (highest)")))</f>
        <v>Q1 (lowest)</v>
      </c>
      <c r="AC146" s="4" t="str">
        <f>IF(J146&lt;=Churn!$C$11,"Q1 (lowest)",IF(J146&lt;=Churn!$C$12,"Q2",IF(J146&lt;=Churn!$C$13,"Q3","Q4 (highest)")))</f>
        <v>Q2</v>
      </c>
      <c r="AD146" s="4" t="str">
        <f>IF(K146&lt;=40,"&lt;=40%",IF(K146&lt;=60,"40-60%",IF(K146&lt;=80,"60-80%","80%+")))</f>
        <v>60-80%</v>
      </c>
      <c r="AE146" s="4" t="str">
        <f>IF(M146&lt;=2,"1-2",IF(M146&lt;=4,"3-4",IF(M146&lt;=6,"5-6","7+")))</f>
        <v>3-4</v>
      </c>
    </row>
    <row r="147">
      <c r="A147" s="4" t="inlineStr">
        <is>
          <t>payments_tax</t>
        </is>
      </c>
      <c r="B147" s="4" t="inlineStr">
        <is>
          <t>Payments</t>
        </is>
      </c>
      <c r="C147" s="4" t="inlineStr">
        <is>
          <t>C++</t>
        </is>
      </c>
      <c r="D147" s="4" t="inlineStr">
        <is>
          <t>v1.0</t>
        </is>
      </c>
      <c r="E147" s="40" t="n">
        <v>45306</v>
      </c>
      <c r="F147" s="4" t="n">
        <v>1</v>
      </c>
      <c r="G147" s="4" t="n">
        <v>1788</v>
      </c>
      <c r="H147" s="18" t="n">
        <v>17.72</v>
      </c>
      <c r="I147" s="18" t="n">
        <v>11.37</v>
      </c>
      <c r="J147" s="29" t="n">
        <v>66</v>
      </c>
      <c r="K147" s="29" t="n">
        <v>75.90000000000001</v>
      </c>
      <c r="L147" s="4" t="n">
        <v>2</v>
      </c>
      <c r="M147" s="4" t="n">
        <v>2</v>
      </c>
      <c r="N147" s="4" t="n">
        <v>111</v>
      </c>
      <c r="O147" s="4" t="n">
        <v>0</v>
      </c>
      <c r="P147" s="4" t="n">
        <v>0</v>
      </c>
      <c r="Q147" s="4" t="n">
        <v>0</v>
      </c>
      <c r="R147" s="4" t="n">
        <v>0</v>
      </c>
      <c r="S147" s="4">
        <f>SUM(O147:R147)</f>
        <v>0</v>
      </c>
      <c r="T147" s="18">
        <f>J147/L147</f>
        <v>33</v>
      </c>
      <c r="U147" s="18">
        <f>S147/G147*1000</f>
        <v>0</v>
      </c>
      <c r="V147" s="4">
        <f>Q147+R147</f>
        <v>0</v>
      </c>
      <c r="W147" s="29">
        <f>100*((J147-MIN($J$2:$J$236))/(MAX($J$2:$J$236)-MIN($J$2:$J$236))+(H147-MIN($H$2:$H$236))/(MAX($H$2:$H$236)-MIN($H$2:$H$236))+(1-(K147-MIN($K$2:$K$236))/(MAX($K$2:$K$236)-MIN($K$2:$K$236))))/3</f>
        <v>27.6510526312006</v>
      </c>
      <c r="X147" s="4" t="n">
        <v>0</v>
      </c>
      <c r="Y147" s="4" t="n">
        <v>0</v>
      </c>
      <c r="Z147" s="4" t="n">
        <v>0</v>
      </c>
      <c r="AA147" s="4" t="inlineStr">
        <is>
          <t>No</t>
        </is>
      </c>
      <c r="AB147" s="4" t="str">
        <f>IF(H147&lt;=Complexity!$C$11,"Q1 (lowest)",IF(H147&lt;=Complexity!$C$12,"Q2",IF(H147&lt;=Complexity!$C$13,"Q3","Q4 (highest)")))</f>
        <v>Q3</v>
      </c>
      <c r="AC147" s="4" t="str">
        <f>IF(J147&lt;=Churn!$C$11,"Q1 (lowest)",IF(J147&lt;=Churn!$C$12,"Q2",IF(J147&lt;=Churn!$C$13,"Q3","Q4 (highest)")))</f>
        <v>Q1 (lowest)</v>
      </c>
      <c r="AD147" s="4" t="str">
        <f>IF(K147&lt;=40,"&lt;=40%",IF(K147&lt;=60,"40-60%",IF(K147&lt;=80,"60-80%","80%+")))</f>
        <v>60-80%</v>
      </c>
      <c r="AE147" s="4" t="str">
        <f>IF(M147&lt;=2,"1-2",IF(M147&lt;=4,"3-4",IF(M147&lt;=6,"5-6","7+")))</f>
        <v>1-2</v>
      </c>
    </row>
    <row r="148">
      <c r="A148" s="4" t="inlineStr">
        <is>
          <t>payments_tax</t>
        </is>
      </c>
      <c r="B148" s="4" t="inlineStr">
        <is>
          <t>Payments</t>
        </is>
      </c>
      <c r="C148" s="4" t="inlineStr">
        <is>
          <t>C++</t>
        </is>
      </c>
      <c r="D148" s="4" t="inlineStr">
        <is>
          <t>v1.1</t>
        </is>
      </c>
      <c r="E148" s="40" t="n">
        <v>45432</v>
      </c>
      <c r="F148" s="4" t="n">
        <v>2</v>
      </c>
      <c r="G148" s="4" t="n">
        <v>1788</v>
      </c>
      <c r="H148" s="18" t="n">
        <v>18.18</v>
      </c>
      <c r="I148" s="18" t="n">
        <v>15.78</v>
      </c>
      <c r="J148" s="29" t="n">
        <v>362.3</v>
      </c>
      <c r="K148" s="29" t="n">
        <v>64.5</v>
      </c>
      <c r="L148" s="4" t="n">
        <v>15</v>
      </c>
      <c r="M148" s="4" t="n">
        <v>5</v>
      </c>
      <c r="N148" s="4" t="n">
        <v>513</v>
      </c>
      <c r="O148" s="4" t="n">
        <v>0</v>
      </c>
      <c r="P148" s="4" t="n">
        <v>1</v>
      </c>
      <c r="Q148" s="4" t="n">
        <v>1</v>
      </c>
      <c r="R148" s="4" t="n">
        <v>0</v>
      </c>
      <c r="S148" s="4">
        <f>SUM(O148:R148)</f>
        <v>2</v>
      </c>
      <c r="T148" s="18">
        <f>J148/L148</f>
        <v>24.1533333333333</v>
      </c>
      <c r="U148" s="18">
        <f>S148/G148*1000</f>
        <v>1.11856823266219</v>
      </c>
      <c r="V148" s="4">
        <f>Q148+R148</f>
        <v>1</v>
      </c>
      <c r="W148" s="29">
        <f>100*((J148-MIN($J$2:$J$236))/(MAX($J$2:$J$236)-MIN($J$2:$J$236))+(H148-MIN($H$2:$H$236))/(MAX($H$2:$H$236)-MIN($H$2:$H$236))+(1-(K148-MIN($K$2:$K$236))/(MAX($K$2:$K$236)-MIN($K$2:$K$236))))/3</f>
        <v>41.4619968751138</v>
      </c>
      <c r="X148" s="4" t="n">
        <v>0</v>
      </c>
      <c r="Y148" s="4" t="n">
        <v>0</v>
      </c>
      <c r="Z148" s="4" t="n">
        <v>0</v>
      </c>
      <c r="AA148" s="4" t="inlineStr">
        <is>
          <t>No</t>
        </is>
      </c>
      <c r="AB148" s="4" t="str">
        <f>IF(H148&lt;=Complexity!$C$11,"Q1 (lowest)",IF(H148&lt;=Complexity!$C$12,"Q2",IF(H148&lt;=Complexity!$C$13,"Q3","Q4 (highest)")))</f>
        <v>Q3</v>
      </c>
      <c r="AC148" s="4" t="str">
        <f>IF(J148&lt;=Churn!$C$11,"Q1 (lowest)",IF(J148&lt;=Churn!$C$12,"Q2",IF(J148&lt;=Churn!$C$13,"Q3","Q4 (highest)")))</f>
        <v>Q3</v>
      </c>
      <c r="AD148" s="4" t="str">
        <f>IF(K148&lt;=40,"&lt;=40%",IF(K148&lt;=60,"40-60%",IF(K148&lt;=80,"60-80%","80%+")))</f>
        <v>60-80%</v>
      </c>
      <c r="AE148" s="4" t="str">
        <f>IF(M148&lt;=2,"1-2",IF(M148&lt;=4,"3-4",IF(M148&lt;=6,"5-6","7+")))</f>
        <v>5-6</v>
      </c>
    </row>
    <row r="149">
      <c r="A149" s="4" t="inlineStr">
        <is>
          <t>payments_tax</t>
        </is>
      </c>
      <c r="B149" s="4" t="inlineStr">
        <is>
          <t>Payments</t>
        </is>
      </c>
      <c r="C149" s="4" t="inlineStr">
        <is>
          <t>C++</t>
        </is>
      </c>
      <c r="D149" s="4" t="inlineStr">
        <is>
          <t>v2.0</t>
        </is>
      </c>
      <c r="E149" s="40" t="n">
        <v>45545</v>
      </c>
      <c r="F149" s="4" t="n">
        <v>3</v>
      </c>
      <c r="G149" s="4" t="n">
        <v>1788</v>
      </c>
      <c r="H149" s="18" t="n">
        <v>12.63</v>
      </c>
      <c r="I149" s="18" t="n">
        <v>11.39</v>
      </c>
      <c r="J149" s="29" t="n">
        <v>390.1</v>
      </c>
      <c r="K149" s="29" t="n">
        <v>77.40000000000001</v>
      </c>
      <c r="L149" s="4" t="n">
        <v>14</v>
      </c>
      <c r="M149" s="4" t="n">
        <v>3</v>
      </c>
      <c r="N149" s="4" t="n">
        <v>450</v>
      </c>
      <c r="O149" s="4" t="n">
        <v>0</v>
      </c>
      <c r="P149" s="4" t="n">
        <v>0</v>
      </c>
      <c r="Q149" s="4" t="n">
        <v>0</v>
      </c>
      <c r="R149" s="4" t="n">
        <v>0</v>
      </c>
      <c r="S149" s="4">
        <f>SUM(O149:R149)</f>
        <v>0</v>
      </c>
      <c r="T149" s="18">
        <f>J149/L149</f>
        <v>27.8642857142857</v>
      </c>
      <c r="U149" s="18">
        <f>S149/G149*1000</f>
        <v>0</v>
      </c>
      <c r="V149" s="4">
        <f>Q149+R149</f>
        <v>0</v>
      </c>
      <c r="W149" s="29">
        <f>100*((J149-MIN($J$2:$J$236))/(MAX($J$2:$J$236)-MIN($J$2:$J$236))+(H149-MIN($H$2:$H$236))/(MAX($H$2:$H$236)-MIN($H$2:$H$236))+(1-(K149-MIN($K$2:$K$236))/(MAX($K$2:$K$236)-MIN($K$2:$K$236))))/3</f>
        <v>30.4501736471882</v>
      </c>
      <c r="X149" s="4" t="n">
        <v>2</v>
      </c>
      <c r="Y149" s="4" t="n">
        <v>0</v>
      </c>
      <c r="Z149" s="4" t="n">
        <v>0</v>
      </c>
      <c r="AA149" s="4" t="inlineStr">
        <is>
          <t>No</t>
        </is>
      </c>
      <c r="AB149" s="4" t="str">
        <f>IF(H149&lt;=Complexity!$C$11,"Q1 (lowest)",IF(H149&lt;=Complexity!$C$12,"Q2",IF(H149&lt;=Complexity!$C$13,"Q3","Q4 (highest)")))</f>
        <v>Q2</v>
      </c>
      <c r="AC149" s="4" t="str">
        <f>IF(J149&lt;=Churn!$C$11,"Q1 (lowest)",IF(J149&lt;=Churn!$C$12,"Q2",IF(J149&lt;=Churn!$C$13,"Q3","Q4 (highest)")))</f>
        <v>Q3</v>
      </c>
      <c r="AD149" s="4" t="str">
        <f>IF(K149&lt;=40,"&lt;=40%",IF(K149&lt;=60,"40-60%",IF(K149&lt;=80,"60-80%","80%+")))</f>
        <v>60-80%</v>
      </c>
      <c r="AE149" s="4" t="str">
        <f>IF(M149&lt;=2,"1-2",IF(M149&lt;=4,"3-4",IF(M149&lt;=6,"5-6","7+")))</f>
        <v>3-4</v>
      </c>
    </row>
    <row r="150">
      <c r="A150" s="4" t="inlineStr">
        <is>
          <t>payments_tax</t>
        </is>
      </c>
      <c r="B150" s="4" t="inlineStr">
        <is>
          <t>Payments</t>
        </is>
      </c>
      <c r="C150" s="4" t="inlineStr">
        <is>
          <t>C++</t>
        </is>
      </c>
      <c r="D150" s="4" t="inlineStr">
        <is>
          <t>v2.1</t>
        </is>
      </c>
      <c r="E150" s="40" t="n">
        <v>45706</v>
      </c>
      <c r="F150" s="4" t="n">
        <v>4</v>
      </c>
      <c r="G150" s="4" t="n">
        <v>1788</v>
      </c>
      <c r="H150" s="18" t="n">
        <v>10.04</v>
      </c>
      <c r="I150" s="18" t="n">
        <v>8.69</v>
      </c>
      <c r="J150" s="29" t="n">
        <v>236.5</v>
      </c>
      <c r="K150" s="29" t="n">
        <v>80</v>
      </c>
      <c r="L150" s="4" t="n">
        <v>5</v>
      </c>
      <c r="M150" s="4" t="n">
        <v>2</v>
      </c>
      <c r="N150" s="4" t="n">
        <v>299</v>
      </c>
      <c r="O150" s="4" t="n">
        <v>0</v>
      </c>
      <c r="P150" s="4" t="n">
        <v>0</v>
      </c>
      <c r="Q150" s="4" t="n">
        <v>0</v>
      </c>
      <c r="R150" s="4" t="n">
        <v>0</v>
      </c>
      <c r="S150" s="4">
        <f>SUM(O150:R150)</f>
        <v>0</v>
      </c>
      <c r="T150" s="18">
        <f>J150/L150</f>
        <v>47.3</v>
      </c>
      <c r="U150" s="18">
        <f>S150/G150*1000</f>
        <v>0</v>
      </c>
      <c r="V150" s="4">
        <f>Q150+R150</f>
        <v>0</v>
      </c>
      <c r="W150" s="29">
        <f>100*((J150-MIN($J$2:$J$236))/(MAX($J$2:$J$236)-MIN($J$2:$J$236))+(H150-MIN($H$2:$H$236))/(MAX($H$2:$H$236)-MIN($H$2:$H$236))+(1-(K150-MIN($K$2:$K$236))/(MAX($K$2:$K$236)-MIN($K$2:$K$236))))/3</f>
        <v>22.3035485641806</v>
      </c>
      <c r="X150" s="4" t="n">
        <v>0</v>
      </c>
      <c r="Y150" s="4" t="n">
        <v>0</v>
      </c>
      <c r="Z150" s="4" t="n">
        <v>0</v>
      </c>
      <c r="AA150" s="4" t="inlineStr">
        <is>
          <t>No</t>
        </is>
      </c>
      <c r="AB150" s="4" t="str">
        <f>IF(H150&lt;=Complexity!$C$11,"Q1 (lowest)",IF(H150&lt;=Complexity!$C$12,"Q2",IF(H150&lt;=Complexity!$C$13,"Q3","Q4 (highest)")))</f>
        <v>Q1 (lowest)</v>
      </c>
      <c r="AC150" s="4" t="str">
        <f>IF(J150&lt;=Churn!$C$11,"Q1 (lowest)",IF(J150&lt;=Churn!$C$12,"Q2",IF(J150&lt;=Churn!$C$13,"Q3","Q4 (highest)")))</f>
        <v>Q2</v>
      </c>
      <c r="AD150" s="4" t="str">
        <f>IF(K150&lt;=40,"&lt;=40%",IF(K150&lt;=60,"40-60%",IF(K150&lt;=80,"60-80%","80%+")))</f>
        <v>60-80%</v>
      </c>
      <c r="AE150" s="4" t="str">
        <f>IF(M150&lt;=2,"1-2",IF(M150&lt;=4,"3-4",IF(M150&lt;=6,"5-6","7+")))</f>
        <v>1-2</v>
      </c>
    </row>
    <row r="151">
      <c r="A151" s="4" t="inlineStr">
        <is>
          <t>payments_tax</t>
        </is>
      </c>
      <c r="B151" s="4" t="inlineStr">
        <is>
          <t>Payments</t>
        </is>
      </c>
      <c r="C151" s="4" t="inlineStr">
        <is>
          <t>C++</t>
        </is>
      </c>
      <c r="D151" s="4" t="inlineStr">
        <is>
          <t>v3.0</t>
        </is>
      </c>
      <c r="E151" s="40" t="n">
        <v>45839</v>
      </c>
      <c r="F151" s="4" t="n">
        <v>5</v>
      </c>
      <c r="G151" s="4" t="n">
        <v>1788</v>
      </c>
      <c r="H151" s="18" t="n">
        <v>15.43</v>
      </c>
      <c r="I151" s="18" t="n">
        <v>11.35</v>
      </c>
      <c r="J151" s="29" t="n">
        <v>110.7</v>
      </c>
      <c r="K151" s="29" t="n">
        <v>70.3</v>
      </c>
      <c r="L151" s="4" t="n">
        <v>2</v>
      </c>
      <c r="M151" s="4" t="n">
        <v>1</v>
      </c>
      <c r="N151" s="4" t="n">
        <v>123</v>
      </c>
      <c r="O151" s="4" t="n">
        <v>1</v>
      </c>
      <c r="P151" s="4" t="n">
        <v>0</v>
      </c>
      <c r="Q151" s="4" t="n">
        <v>0</v>
      </c>
      <c r="R151" s="4" t="n">
        <v>0</v>
      </c>
      <c r="S151" s="4">
        <f>SUM(O151:R151)</f>
        <v>1</v>
      </c>
      <c r="T151" s="18">
        <f>J151/L151</f>
        <v>55.35</v>
      </c>
      <c r="U151" s="18">
        <f>S151/G151*1000</f>
        <v>0.559284116331096</v>
      </c>
      <c r="V151" s="4">
        <f>Q151+R151</f>
        <v>0</v>
      </c>
      <c r="W151" s="29">
        <f>100*((J151-MIN($J$2:$J$236))/(MAX($J$2:$J$236)-MIN($J$2:$J$236))+(H151-MIN($H$2:$H$236))/(MAX($H$2:$H$236)-MIN($H$2:$H$236))+(1-(K151-MIN($K$2:$K$236))/(MAX($K$2:$K$236)-MIN($K$2:$K$236))))/3</f>
        <v>28.9992656492236</v>
      </c>
      <c r="X151" s="4" t="n">
        <v>0</v>
      </c>
      <c r="Y151" s="4" t="n">
        <v>0</v>
      </c>
      <c r="Z151" s="4" t="n">
        <v>0</v>
      </c>
      <c r="AA151" s="4" t="inlineStr">
        <is>
          <t>No</t>
        </is>
      </c>
      <c r="AB151" s="4" t="str">
        <f>IF(H151&lt;=Complexity!$C$11,"Q1 (lowest)",IF(H151&lt;=Complexity!$C$12,"Q2",IF(H151&lt;=Complexity!$C$13,"Q3","Q4 (highest)")))</f>
        <v>Q3</v>
      </c>
      <c r="AC151" s="4" t="str">
        <f>IF(J151&lt;=Churn!$C$11,"Q1 (lowest)",IF(J151&lt;=Churn!$C$12,"Q2",IF(J151&lt;=Churn!$C$13,"Q3","Q4 (highest)")))</f>
        <v>Q1 (lowest)</v>
      </c>
      <c r="AD151" s="4" t="str">
        <f>IF(K151&lt;=40,"&lt;=40%",IF(K151&lt;=60,"40-60%",IF(K151&lt;=80,"60-80%","80%+")))</f>
        <v>60-80%</v>
      </c>
      <c r="AE151" s="4" t="str">
        <f>IF(M151&lt;=2,"1-2",IF(M151&lt;=4,"3-4",IF(M151&lt;=6,"5-6","7+")))</f>
        <v>1-2</v>
      </c>
    </row>
    <row r="152">
      <c r="A152" s="4" t="inlineStr">
        <is>
          <t>payments_wallet</t>
        </is>
      </c>
      <c r="B152" s="4" t="inlineStr">
        <is>
          <t>Payments</t>
        </is>
      </c>
      <c r="C152" s="4" t="inlineStr">
        <is>
          <t>C++</t>
        </is>
      </c>
      <c r="D152" s="4" t="inlineStr">
        <is>
          <t>v1.0</t>
        </is>
      </c>
      <c r="E152" s="40" t="n">
        <v>45306</v>
      </c>
      <c r="F152" s="4" t="n">
        <v>1</v>
      </c>
      <c r="G152" s="4" t="n">
        <v>1939</v>
      </c>
      <c r="H152" s="18" t="n">
        <v>26.95</v>
      </c>
      <c r="I152" s="18" t="n">
        <v>15.17</v>
      </c>
      <c r="J152" s="29" t="n">
        <v>767.1</v>
      </c>
      <c r="K152" s="29" t="n">
        <v>41</v>
      </c>
      <c r="L152" s="4" t="n">
        <v>19</v>
      </c>
      <c r="M152" s="4" t="n">
        <v>5</v>
      </c>
      <c r="N152" s="4" t="n">
        <v>1076</v>
      </c>
      <c r="O152" s="4" t="n">
        <v>0</v>
      </c>
      <c r="P152" s="4" t="n">
        <v>2</v>
      </c>
      <c r="Q152" s="4" t="n">
        <v>1</v>
      </c>
      <c r="R152" s="4" t="n">
        <v>0</v>
      </c>
      <c r="S152" s="4">
        <f>SUM(O152:R152)</f>
        <v>3</v>
      </c>
      <c r="T152" s="18">
        <f>J152/L152</f>
        <v>40.3736842105263</v>
      </c>
      <c r="U152" s="18">
        <f>S152/G152*1000</f>
        <v>1.54718927282104</v>
      </c>
      <c r="V152" s="4">
        <f>Q152+R152</f>
        <v>1</v>
      </c>
      <c r="W152" s="29">
        <f>100*((J152-MIN($J$2:$J$236))/(MAX($J$2:$J$236)-MIN($J$2:$J$236))+(H152-MIN($H$2:$H$236))/(MAX($H$2:$H$236)-MIN($H$2:$H$236))+(1-(K152-MIN($K$2:$K$236))/(MAX($K$2:$K$236)-MIN($K$2:$K$236))))/3</f>
        <v>72.587119441205</v>
      </c>
      <c r="X152" s="4" t="n">
        <v>0</v>
      </c>
      <c r="Y152" s="4" t="n">
        <v>0</v>
      </c>
      <c r="Z152" s="4" t="n">
        <v>1</v>
      </c>
      <c r="AA152" s="4" t="inlineStr">
        <is>
          <t>No</t>
        </is>
      </c>
      <c r="AB152" s="4" t="str">
        <f>IF(H152&lt;=Complexity!$C$11,"Q1 (lowest)",IF(H152&lt;=Complexity!$C$12,"Q2",IF(H152&lt;=Complexity!$C$13,"Q3","Q4 (highest)")))</f>
        <v>Q4 (highest)</v>
      </c>
      <c r="AC152" s="4" t="str">
        <f>IF(J152&lt;=Churn!$C$11,"Q1 (lowest)",IF(J152&lt;=Churn!$C$12,"Q2",IF(J152&lt;=Churn!$C$13,"Q3","Q4 (highest)")))</f>
        <v>Q4 (highest)</v>
      </c>
      <c r="AD152" s="4" t="str">
        <f>IF(K152&lt;=40,"&lt;=40%",IF(K152&lt;=60,"40-60%",IF(K152&lt;=80,"60-80%","80%+")))</f>
        <v>40-60%</v>
      </c>
      <c r="AE152" s="4" t="str">
        <f>IF(M152&lt;=2,"1-2",IF(M152&lt;=4,"3-4",IF(M152&lt;=6,"5-6","7+")))</f>
        <v>5-6</v>
      </c>
    </row>
    <row r="153">
      <c r="A153" s="4" t="inlineStr">
        <is>
          <t>payments_wallet</t>
        </is>
      </c>
      <c r="B153" s="4" t="inlineStr">
        <is>
          <t>Payments</t>
        </is>
      </c>
      <c r="C153" s="4" t="inlineStr">
        <is>
          <t>C++</t>
        </is>
      </c>
      <c r="D153" s="4" t="inlineStr">
        <is>
          <t>v1.1</t>
        </is>
      </c>
      <c r="E153" s="40" t="n">
        <v>45432</v>
      </c>
      <c r="F153" s="4" t="n">
        <v>2</v>
      </c>
      <c r="G153" s="4" t="n">
        <v>1939</v>
      </c>
      <c r="H153" s="18" t="n">
        <v>21.3</v>
      </c>
      <c r="I153" s="18" t="n">
        <v>11.66</v>
      </c>
      <c r="J153" s="29" t="n">
        <v>233.2</v>
      </c>
      <c r="K153" s="29" t="n">
        <v>50.4</v>
      </c>
      <c r="L153" s="4" t="n">
        <v>12</v>
      </c>
      <c r="M153" s="4" t="n">
        <v>5</v>
      </c>
      <c r="N153" s="4" t="n">
        <v>319</v>
      </c>
      <c r="O153" s="4" t="n">
        <v>0</v>
      </c>
      <c r="P153" s="4" t="n">
        <v>0</v>
      </c>
      <c r="Q153" s="4" t="n">
        <v>0</v>
      </c>
      <c r="R153" s="4" t="n">
        <v>0</v>
      </c>
      <c r="S153" s="4">
        <f>SUM(O153:R153)</f>
        <v>0</v>
      </c>
      <c r="T153" s="18">
        <f>J153/L153</f>
        <v>19.4333333333333</v>
      </c>
      <c r="U153" s="18">
        <f>S153/G153*1000</f>
        <v>0</v>
      </c>
      <c r="V153" s="4">
        <f>Q153+R153</f>
        <v>0</v>
      </c>
      <c r="W153" s="29">
        <f>100*((J153-MIN($J$2:$J$236))/(MAX($J$2:$J$236)-MIN($J$2:$J$236))+(H153-MIN($H$2:$H$236))/(MAX($H$2:$H$236)-MIN($H$2:$H$236))+(1-(K153-MIN($K$2:$K$236))/(MAX($K$2:$K$236)-MIN($K$2:$K$236))))/3</f>
        <v>47.6638486053456</v>
      </c>
      <c r="X153" s="4" t="n">
        <v>3</v>
      </c>
      <c r="Y153" s="4" t="n">
        <v>0</v>
      </c>
      <c r="Z153" s="4" t="n">
        <v>0</v>
      </c>
      <c r="AA153" s="4" t="inlineStr">
        <is>
          <t>No</t>
        </is>
      </c>
      <c r="AB153" s="4" t="str">
        <f>IF(H153&lt;=Complexity!$C$11,"Q1 (lowest)",IF(H153&lt;=Complexity!$C$12,"Q2",IF(H153&lt;=Complexity!$C$13,"Q3","Q4 (highest)")))</f>
        <v>Q4 (highest)</v>
      </c>
      <c r="AC153" s="4" t="str">
        <f>IF(J153&lt;=Churn!$C$11,"Q1 (lowest)",IF(J153&lt;=Churn!$C$12,"Q2",IF(J153&lt;=Churn!$C$13,"Q3","Q4 (highest)")))</f>
        <v>Q2</v>
      </c>
      <c r="AD153" s="4" t="str">
        <f>IF(K153&lt;=40,"&lt;=40%",IF(K153&lt;=60,"40-60%",IF(K153&lt;=80,"60-80%","80%+")))</f>
        <v>40-60%</v>
      </c>
      <c r="AE153" s="4" t="str">
        <f>IF(M153&lt;=2,"1-2",IF(M153&lt;=4,"3-4",IF(M153&lt;=6,"5-6","7+")))</f>
        <v>5-6</v>
      </c>
    </row>
    <row r="154">
      <c r="A154" s="4" t="inlineStr">
        <is>
          <t>payments_wallet</t>
        </is>
      </c>
      <c r="B154" s="4" t="inlineStr">
        <is>
          <t>Payments</t>
        </is>
      </c>
      <c r="C154" s="4" t="inlineStr">
        <is>
          <t>C++</t>
        </is>
      </c>
      <c r="D154" s="4" t="inlineStr">
        <is>
          <t>v2.0</t>
        </is>
      </c>
      <c r="E154" s="40" t="n">
        <v>45545</v>
      </c>
      <c r="F154" s="4" t="n">
        <v>3</v>
      </c>
      <c r="G154" s="4" t="n">
        <v>1939</v>
      </c>
      <c r="H154" s="18" t="n">
        <v>25.33</v>
      </c>
      <c r="I154" s="18" t="n">
        <v>13.58</v>
      </c>
      <c r="J154" s="29" t="n">
        <v>669</v>
      </c>
      <c r="K154" s="29" t="n">
        <v>47.6</v>
      </c>
      <c r="L154" s="4" t="n">
        <v>37</v>
      </c>
      <c r="M154" s="4" t="n">
        <v>5</v>
      </c>
      <c r="N154" s="4" t="n">
        <v>1139</v>
      </c>
      <c r="O154" s="4" t="n">
        <v>0</v>
      </c>
      <c r="P154" s="4" t="n">
        <v>0</v>
      </c>
      <c r="Q154" s="4" t="n">
        <v>0</v>
      </c>
      <c r="R154" s="4" t="n">
        <v>0</v>
      </c>
      <c r="S154" s="4">
        <f>SUM(O154:R154)</f>
        <v>0</v>
      </c>
      <c r="T154" s="18">
        <f>J154/L154</f>
        <v>18.0810810810811</v>
      </c>
      <c r="U154" s="18">
        <f>S154/G154*1000</f>
        <v>0</v>
      </c>
      <c r="V154" s="4">
        <f>Q154+R154</f>
        <v>0</v>
      </c>
      <c r="W154" s="29">
        <f>100*((J154-MIN($J$2:$J$236))/(MAX($J$2:$J$236)-MIN($J$2:$J$236))+(H154-MIN($H$2:$H$236))/(MAX($H$2:$H$236)-MIN($H$2:$H$236))+(1-(K154-MIN($K$2:$K$236))/(MAX($K$2:$K$236)-MIN($K$2:$K$236))))/3</f>
        <v>65.1679899540089</v>
      </c>
      <c r="X154" s="4" t="n">
        <v>0</v>
      </c>
      <c r="Y154" s="4" t="n">
        <v>0</v>
      </c>
      <c r="Z154" s="4" t="n">
        <v>0</v>
      </c>
      <c r="AA154" s="4" t="inlineStr">
        <is>
          <t>No</t>
        </is>
      </c>
      <c r="AB154" s="4" t="str">
        <f>IF(H154&lt;=Complexity!$C$11,"Q1 (lowest)",IF(H154&lt;=Complexity!$C$12,"Q2",IF(H154&lt;=Complexity!$C$13,"Q3","Q4 (highest)")))</f>
        <v>Q4 (highest)</v>
      </c>
      <c r="AC154" s="4" t="str">
        <f>IF(J154&lt;=Churn!$C$11,"Q1 (lowest)",IF(J154&lt;=Churn!$C$12,"Q2",IF(J154&lt;=Churn!$C$13,"Q3","Q4 (highest)")))</f>
        <v>Q4 (highest)</v>
      </c>
      <c r="AD154" s="4" t="str">
        <f>IF(K154&lt;=40,"&lt;=40%",IF(K154&lt;=60,"40-60%",IF(K154&lt;=80,"60-80%","80%+")))</f>
        <v>40-60%</v>
      </c>
      <c r="AE154" s="4" t="str">
        <f>IF(M154&lt;=2,"1-2",IF(M154&lt;=4,"3-4",IF(M154&lt;=6,"5-6","7+")))</f>
        <v>5-6</v>
      </c>
    </row>
    <row r="155">
      <c r="A155" s="4" t="inlineStr">
        <is>
          <t>payments_wallet</t>
        </is>
      </c>
      <c r="B155" s="4" t="inlineStr">
        <is>
          <t>Payments</t>
        </is>
      </c>
      <c r="C155" s="4" t="inlineStr">
        <is>
          <t>C++</t>
        </is>
      </c>
      <c r="D155" s="4" t="inlineStr">
        <is>
          <t>v2.1</t>
        </is>
      </c>
      <c r="E155" s="40" t="n">
        <v>45706</v>
      </c>
      <c r="F155" s="4" t="n">
        <v>4</v>
      </c>
      <c r="G155" s="4" t="n">
        <v>1939</v>
      </c>
      <c r="H155" s="18" t="n">
        <v>25.41</v>
      </c>
      <c r="I155" s="18" t="n">
        <v>14</v>
      </c>
      <c r="J155" s="29" t="n">
        <v>616.35</v>
      </c>
      <c r="K155" s="29" t="n">
        <v>41.6</v>
      </c>
      <c r="L155" s="4" t="n">
        <v>3</v>
      </c>
      <c r="M155" s="4" t="n">
        <v>2</v>
      </c>
      <c r="N155" s="4" t="n">
        <v>167</v>
      </c>
      <c r="O155" s="4" t="n">
        <v>0</v>
      </c>
      <c r="P155" s="4" t="n">
        <v>0</v>
      </c>
      <c r="Q155" s="4" t="n">
        <v>0</v>
      </c>
      <c r="R155" s="4" t="n">
        <v>1</v>
      </c>
      <c r="S155" s="4">
        <f>SUM(O155:R155)</f>
        <v>1</v>
      </c>
      <c r="T155" s="18">
        <f>J155/L155</f>
        <v>205.45</v>
      </c>
      <c r="U155" s="18">
        <f>S155/G155*1000</f>
        <v>0.515729757607014</v>
      </c>
      <c r="V155" s="4">
        <f>Q155+R155</f>
        <v>1</v>
      </c>
      <c r="W155" s="29">
        <f>100*((J155-MIN($J$2:$J$236))/(MAX($J$2:$J$236)-MIN($J$2:$J$236))+(H155-MIN($H$2:$H$236))/(MAX($H$2:$H$236)-MIN($H$2:$H$236))+(1-(K155-MIN($K$2:$K$236))/(MAX($K$2:$K$236)-MIN($K$2:$K$236))))/3</f>
        <v>66.5452810228006</v>
      </c>
      <c r="X155" s="4" t="n">
        <v>0</v>
      </c>
      <c r="Y155" s="4" t="n">
        <v>0</v>
      </c>
      <c r="Z155" s="4" t="n">
        <v>0</v>
      </c>
      <c r="AA155" s="4" t="inlineStr">
        <is>
          <t>No</t>
        </is>
      </c>
      <c r="AB155" s="4" t="str">
        <f>IF(H155&lt;=Complexity!$C$11,"Q1 (lowest)",IF(H155&lt;=Complexity!$C$12,"Q2",IF(H155&lt;=Complexity!$C$13,"Q3","Q4 (highest)")))</f>
        <v>Q4 (highest)</v>
      </c>
      <c r="AC155" s="4" t="str">
        <f>IF(J155&lt;=Churn!$C$11,"Q1 (lowest)",IF(J155&lt;=Churn!$C$12,"Q2",IF(J155&lt;=Churn!$C$13,"Q3","Q4 (highest)")))</f>
        <v>Q4 (highest)</v>
      </c>
      <c r="AD155" s="4" t="str">
        <f>IF(K155&lt;=40,"&lt;=40%",IF(K155&lt;=60,"40-60%",IF(K155&lt;=80,"60-80%","80%+")))</f>
        <v>40-60%</v>
      </c>
      <c r="AE155" s="4" t="str">
        <f>IF(M155&lt;=2,"1-2",IF(M155&lt;=4,"3-4",IF(M155&lt;=6,"5-6","7+")))</f>
        <v>1-2</v>
      </c>
    </row>
    <row r="156">
      <c r="A156" s="4" t="inlineStr">
        <is>
          <t>payments_wallet</t>
        </is>
      </c>
      <c r="B156" s="4" t="inlineStr">
        <is>
          <t>Payments</t>
        </is>
      </c>
      <c r="C156" s="4" t="inlineStr">
        <is>
          <t>C++</t>
        </is>
      </c>
      <c r="D156" s="4" t="inlineStr">
        <is>
          <t>v3.0</t>
        </is>
      </c>
      <c r="E156" s="40" t="n">
        <v>45839</v>
      </c>
      <c r="F156" s="4" t="n">
        <v>5</v>
      </c>
      <c r="G156" s="4" t="n">
        <v>1939</v>
      </c>
      <c r="H156" s="18" t="n">
        <v>25.49</v>
      </c>
      <c r="I156" s="18" t="n">
        <v>18.39</v>
      </c>
      <c r="J156" s="29" t="n">
        <v>563.7</v>
      </c>
      <c r="K156" s="29" t="n">
        <v>36.9</v>
      </c>
      <c r="L156" s="4" t="n">
        <v>20</v>
      </c>
      <c r="M156" s="4" t="n">
        <v>5</v>
      </c>
      <c r="N156" s="4" t="n">
        <v>679</v>
      </c>
      <c r="O156" s="4" t="n">
        <v>1</v>
      </c>
      <c r="P156" s="4" t="n">
        <v>0</v>
      </c>
      <c r="Q156" s="4" t="n">
        <v>0</v>
      </c>
      <c r="R156" s="4" t="n">
        <v>0</v>
      </c>
      <c r="S156" s="4">
        <f>SUM(O156:R156)</f>
        <v>1</v>
      </c>
      <c r="T156" s="18">
        <f>J156/L156</f>
        <v>28.185</v>
      </c>
      <c r="U156" s="18">
        <f>S156/G156*1000</f>
        <v>0.515729757607014</v>
      </c>
      <c r="V156" s="4">
        <f>Q156+R156</f>
        <v>0</v>
      </c>
      <c r="W156" s="29">
        <f>100*((J156-MIN($J$2:$J$236))/(MAX($J$2:$J$236)-MIN($J$2:$J$236))+(H156-MIN($H$2:$H$236))/(MAX($H$2:$H$236)-MIN($H$2:$H$236))+(1-(K156-MIN($K$2:$K$236))/(MAX($K$2:$K$236)-MIN($K$2:$K$236))))/3</f>
        <v>67.3297768339544</v>
      </c>
      <c r="X156" s="4" t="n">
        <v>1</v>
      </c>
      <c r="Y156" s="4" t="n">
        <v>0</v>
      </c>
      <c r="Z156" s="4" t="n">
        <v>0</v>
      </c>
      <c r="AA156" s="4" t="inlineStr">
        <is>
          <t>No</t>
        </is>
      </c>
      <c r="AB156" s="4" t="str">
        <f>IF(H156&lt;=Complexity!$C$11,"Q1 (lowest)",IF(H156&lt;=Complexity!$C$12,"Q2",IF(H156&lt;=Complexity!$C$13,"Q3","Q4 (highest)")))</f>
        <v>Q4 (highest)</v>
      </c>
      <c r="AC156" s="4" t="str">
        <f>IF(J156&lt;=Churn!$C$11,"Q1 (lowest)",IF(J156&lt;=Churn!$C$12,"Q2",IF(J156&lt;=Churn!$C$13,"Q3","Q4 (highest)")))</f>
        <v>Q4 (highest)</v>
      </c>
      <c r="AD156" s="4" t="str">
        <f>IF(K156&lt;=40,"&lt;=40%",IF(K156&lt;=60,"40-60%",IF(K156&lt;=80,"60-80%","80%+")))</f>
        <v>&lt;=40%</v>
      </c>
      <c r="AE156" s="4" t="str">
        <f>IF(M156&lt;=2,"1-2",IF(M156&lt;=4,"3-4",IF(M156&lt;=6,"5-6","7+")))</f>
        <v>5-6</v>
      </c>
    </row>
    <row r="157">
      <c r="A157" s="4" t="inlineStr">
        <is>
          <t>reporting_aggregator</t>
        </is>
      </c>
      <c r="B157" s="4" t="inlineStr">
        <is>
          <t>Reporting</t>
        </is>
      </c>
      <c r="C157" s="4" t="inlineStr">
        <is>
          <t>Java</t>
        </is>
      </c>
      <c r="D157" s="4" t="inlineStr">
        <is>
          <t>v1.0</t>
        </is>
      </c>
      <c r="E157" s="40" t="n">
        <v>45306</v>
      </c>
      <c r="F157" s="4" t="n">
        <v>1</v>
      </c>
      <c r="G157" s="4" t="n">
        <v>1634</v>
      </c>
      <c r="H157" s="18" t="n">
        <v>12.36</v>
      </c>
      <c r="I157" s="18" t="n">
        <v>9.565</v>
      </c>
      <c r="J157" s="29" t="n">
        <v>359.7</v>
      </c>
      <c r="K157" s="29" t="n">
        <v>87.40000000000001</v>
      </c>
      <c r="L157" s="4" t="n">
        <v>10</v>
      </c>
      <c r="M157" s="4" t="n">
        <v>4</v>
      </c>
      <c r="N157" s="4" t="n">
        <v>576</v>
      </c>
      <c r="O157" s="4" t="n">
        <v>0</v>
      </c>
      <c r="P157" s="4" t="n">
        <v>0</v>
      </c>
      <c r="Q157" s="4" t="n">
        <v>0</v>
      </c>
      <c r="R157" s="4" t="n">
        <v>0</v>
      </c>
      <c r="S157" s="4">
        <f>SUM(O157:R157)</f>
        <v>0</v>
      </c>
      <c r="T157" s="18">
        <f>J157/L157</f>
        <v>35.97</v>
      </c>
      <c r="U157" s="18">
        <f>S157/G157*1000</f>
        <v>0</v>
      </c>
      <c r="V157" s="4">
        <f>Q157+R157</f>
        <v>0</v>
      </c>
      <c r="W157" s="29">
        <f>100*((J157-MIN($J$2:$J$236))/(MAX($J$2:$J$236)-MIN($J$2:$J$236))+(H157-MIN($H$2:$H$236))/(MAX($H$2:$H$236)-MIN($H$2:$H$236))+(1-(K157-MIN($K$2:$K$236))/(MAX($K$2:$K$236)-MIN($K$2:$K$236))))/3</f>
        <v>24.7700469469019</v>
      </c>
      <c r="X157" s="4" t="n">
        <v>0</v>
      </c>
      <c r="Y157" s="4" t="n">
        <v>0</v>
      </c>
      <c r="Z157" s="4" t="n">
        <v>0</v>
      </c>
      <c r="AA157" s="4" t="inlineStr">
        <is>
          <t>No</t>
        </is>
      </c>
      <c r="AB157" s="4" t="str">
        <f>IF(H157&lt;=Complexity!$C$11,"Q1 (lowest)",IF(H157&lt;=Complexity!$C$12,"Q2",IF(H157&lt;=Complexity!$C$13,"Q3","Q4 (highest)")))</f>
        <v>Q2</v>
      </c>
      <c r="AC157" s="4" t="str">
        <f>IF(J157&lt;=Churn!$C$11,"Q1 (lowest)",IF(J157&lt;=Churn!$C$12,"Q2",IF(J157&lt;=Churn!$C$13,"Q3","Q4 (highest)")))</f>
        <v>Q3</v>
      </c>
      <c r="AD157" s="4" t="str">
        <f>IF(K157&lt;=40,"&lt;=40%",IF(K157&lt;=60,"40-60%",IF(K157&lt;=80,"60-80%","80%+")))</f>
        <v>80%+</v>
      </c>
      <c r="AE157" s="4" t="str">
        <f>IF(M157&lt;=2,"1-2",IF(M157&lt;=4,"3-4",IF(M157&lt;=6,"5-6","7+")))</f>
        <v>3-4</v>
      </c>
    </row>
    <row r="158">
      <c r="A158" s="4" t="inlineStr">
        <is>
          <t>reporting_aggregator</t>
        </is>
      </c>
      <c r="B158" s="4" t="inlineStr">
        <is>
          <t>Reporting</t>
        </is>
      </c>
      <c r="C158" s="4" t="inlineStr">
        <is>
          <t>Java</t>
        </is>
      </c>
      <c r="D158" s="4" t="inlineStr">
        <is>
          <t>v1.1</t>
        </is>
      </c>
      <c r="E158" s="40" t="n">
        <v>45432</v>
      </c>
      <c r="F158" s="4" t="n">
        <v>2</v>
      </c>
      <c r="G158" s="4" t="n">
        <v>1634</v>
      </c>
      <c r="H158" s="18" t="n">
        <v>11.88</v>
      </c>
      <c r="I158" s="18" t="n">
        <v>10.71</v>
      </c>
      <c r="J158" s="29" t="n">
        <v>165.9</v>
      </c>
      <c r="K158" s="29" t="n">
        <v>91.09999999999999</v>
      </c>
      <c r="L158" s="4" t="n">
        <v>6</v>
      </c>
      <c r="M158" s="4" t="n">
        <v>3</v>
      </c>
      <c r="N158" s="4" t="n">
        <v>298</v>
      </c>
      <c r="O158" s="4" t="n">
        <v>0</v>
      </c>
      <c r="P158" s="4" t="n">
        <v>0</v>
      </c>
      <c r="Q158" s="4" t="n">
        <v>0</v>
      </c>
      <c r="R158" s="4" t="n">
        <v>0</v>
      </c>
      <c r="S158" s="4">
        <f>SUM(O158:R158)</f>
        <v>0</v>
      </c>
      <c r="T158" s="18">
        <f>J158/L158</f>
        <v>27.65</v>
      </c>
      <c r="U158" s="18">
        <f>S158/G158*1000</f>
        <v>0</v>
      </c>
      <c r="V158" s="4">
        <f>Q158+R158</f>
        <v>0</v>
      </c>
      <c r="W158" s="29">
        <f>100*((J158-MIN($J$2:$J$236))/(MAX($J$2:$J$236)-MIN($J$2:$J$236))+(H158-MIN($H$2:$H$236))/(MAX($H$2:$H$236)-MIN($H$2:$H$236))+(1-(K158-MIN($K$2:$K$236))/(MAX($K$2:$K$236)-MIN($K$2:$K$236))))/3</f>
        <v>17.2594953311646</v>
      </c>
      <c r="X158" s="4" t="n">
        <v>0</v>
      </c>
      <c r="Y158" s="4" t="n">
        <v>0</v>
      </c>
      <c r="Z158" s="4" t="n">
        <v>0</v>
      </c>
      <c r="AA158" s="4" t="inlineStr">
        <is>
          <t>No</t>
        </is>
      </c>
      <c r="AB158" s="4" t="str">
        <f>IF(H158&lt;=Complexity!$C$11,"Q1 (lowest)",IF(H158&lt;=Complexity!$C$12,"Q2",IF(H158&lt;=Complexity!$C$13,"Q3","Q4 (highest)")))</f>
        <v>Q2</v>
      </c>
      <c r="AC158" s="4" t="str">
        <f>IF(J158&lt;=Churn!$C$11,"Q1 (lowest)",IF(J158&lt;=Churn!$C$12,"Q2",IF(J158&lt;=Churn!$C$13,"Q3","Q4 (highest)")))</f>
        <v>Q2</v>
      </c>
      <c r="AD158" s="4" t="str">
        <f>IF(K158&lt;=40,"&lt;=40%",IF(K158&lt;=60,"40-60%",IF(K158&lt;=80,"60-80%","80%+")))</f>
        <v>80%+</v>
      </c>
      <c r="AE158" s="4" t="str">
        <f>IF(M158&lt;=2,"1-2",IF(M158&lt;=4,"3-4",IF(M158&lt;=6,"5-6","7+")))</f>
        <v>3-4</v>
      </c>
    </row>
    <row r="159">
      <c r="A159" s="4" t="inlineStr">
        <is>
          <t>reporting_aggregator</t>
        </is>
      </c>
      <c r="B159" s="4" t="inlineStr">
        <is>
          <t>Reporting</t>
        </is>
      </c>
      <c r="C159" s="4" t="inlineStr">
        <is>
          <t>Java</t>
        </is>
      </c>
      <c r="D159" s="4" t="inlineStr">
        <is>
          <t>v2.0</t>
        </is>
      </c>
      <c r="E159" s="40" t="n">
        <v>45545</v>
      </c>
      <c r="F159" s="4" t="n">
        <v>3</v>
      </c>
      <c r="G159" s="4" t="n">
        <v>1634</v>
      </c>
      <c r="H159" s="18" t="n">
        <v>8.449999999999999</v>
      </c>
      <c r="I159" s="18" t="n">
        <v>8.42</v>
      </c>
      <c r="J159" s="29" t="n">
        <v>132.6</v>
      </c>
      <c r="K159" s="29" t="n">
        <v>84.5</v>
      </c>
      <c r="L159" s="4" t="n">
        <v>4</v>
      </c>
      <c r="M159" s="4" t="n">
        <v>2</v>
      </c>
      <c r="N159" s="4" t="n">
        <v>200</v>
      </c>
      <c r="O159" s="4" t="n">
        <v>0</v>
      </c>
      <c r="P159" s="4" t="n">
        <v>0</v>
      </c>
      <c r="Q159" s="4" t="n">
        <v>0</v>
      </c>
      <c r="R159" s="4" t="n">
        <v>0</v>
      </c>
      <c r="S159" s="4">
        <f>SUM(O159:R159)</f>
        <v>0</v>
      </c>
      <c r="T159" s="18">
        <f>J159/L159</f>
        <v>33.15</v>
      </c>
      <c r="U159" s="18">
        <f>S159/G159*1000</f>
        <v>0</v>
      </c>
      <c r="V159" s="4">
        <f>Q159+R159</f>
        <v>0</v>
      </c>
      <c r="W159" s="29">
        <f>100*((J159-MIN($J$2:$J$236))/(MAX($J$2:$J$236)-MIN($J$2:$J$236))+(H159-MIN($H$2:$H$236))/(MAX($H$2:$H$236)-MIN($H$2:$H$236))+(1-(K159-MIN($K$2:$K$236))/(MAX($K$2:$K$236)-MIN($K$2:$K$236))))/3</f>
        <v>15.7148280874444</v>
      </c>
      <c r="X159" s="4" t="n">
        <v>0</v>
      </c>
      <c r="Y159" s="4" t="n">
        <v>0</v>
      </c>
      <c r="Z159" s="4" t="n">
        <v>0</v>
      </c>
      <c r="AA159" s="4" t="inlineStr">
        <is>
          <t>No</t>
        </is>
      </c>
      <c r="AB159" s="4" t="str">
        <f>IF(H159&lt;=Complexity!$C$11,"Q1 (lowest)",IF(H159&lt;=Complexity!$C$12,"Q2",IF(H159&lt;=Complexity!$C$13,"Q3","Q4 (highest)")))</f>
        <v>Q1 (lowest)</v>
      </c>
      <c r="AC159" s="4" t="str">
        <f>IF(J159&lt;=Churn!$C$11,"Q1 (lowest)",IF(J159&lt;=Churn!$C$12,"Q2",IF(J159&lt;=Churn!$C$13,"Q3","Q4 (highest)")))</f>
        <v>Q1 (lowest)</v>
      </c>
      <c r="AD159" s="4" t="str">
        <f>IF(K159&lt;=40,"&lt;=40%",IF(K159&lt;=60,"40-60%",IF(K159&lt;=80,"60-80%","80%+")))</f>
        <v>80%+</v>
      </c>
      <c r="AE159" s="4" t="str">
        <f>IF(M159&lt;=2,"1-2",IF(M159&lt;=4,"3-4",IF(M159&lt;=6,"5-6","7+")))</f>
        <v>1-2</v>
      </c>
    </row>
    <row r="160">
      <c r="A160" s="4" t="inlineStr">
        <is>
          <t>reporting_aggregator</t>
        </is>
      </c>
      <c r="B160" s="4" t="inlineStr">
        <is>
          <t>Reporting</t>
        </is>
      </c>
      <c r="C160" s="4" t="inlineStr">
        <is>
          <t>Java</t>
        </is>
      </c>
      <c r="D160" s="4" t="inlineStr">
        <is>
          <t>v2.1</t>
        </is>
      </c>
      <c r="E160" s="40" t="n">
        <v>45706</v>
      </c>
      <c r="F160" s="4" t="n">
        <v>4</v>
      </c>
      <c r="G160" s="4" t="n">
        <v>1634</v>
      </c>
      <c r="H160" s="18" t="n">
        <v>16.37</v>
      </c>
      <c r="I160" s="18" t="n">
        <v>11.93</v>
      </c>
      <c r="J160" s="29" t="n">
        <v>155.2</v>
      </c>
      <c r="K160" s="29" t="n">
        <v>90.59999999999999</v>
      </c>
      <c r="L160" s="4" t="n">
        <v>4</v>
      </c>
      <c r="M160" s="4" t="n">
        <v>2</v>
      </c>
      <c r="N160" s="4" t="n">
        <v>200</v>
      </c>
      <c r="O160" s="4" t="n">
        <v>0</v>
      </c>
      <c r="P160" s="4" t="n">
        <v>0</v>
      </c>
      <c r="Q160" s="4" t="n">
        <v>0</v>
      </c>
      <c r="R160" s="4" t="n">
        <v>0</v>
      </c>
      <c r="S160" s="4">
        <f>SUM(O160:R160)</f>
        <v>0</v>
      </c>
      <c r="T160" s="18">
        <f>J160/L160</f>
        <v>38.8</v>
      </c>
      <c r="U160" s="18">
        <f>S160/G160*1000</f>
        <v>0</v>
      </c>
      <c r="V160" s="4">
        <f>Q160+R160</f>
        <v>0</v>
      </c>
      <c r="W160" s="29">
        <f>100*((J160-MIN($J$2:$J$236))/(MAX($J$2:$J$236)-MIN($J$2:$J$236))+(H160-MIN($H$2:$H$236))/(MAX($H$2:$H$236)-MIN($H$2:$H$236))+(1-(K160-MIN($K$2:$K$236))/(MAX($K$2:$K$236)-MIN($K$2:$K$236))))/3</f>
        <v>21.9605640752442</v>
      </c>
      <c r="X160" s="4" t="n">
        <v>0</v>
      </c>
      <c r="Y160" s="4" t="n">
        <v>0</v>
      </c>
      <c r="Z160" s="4" t="n">
        <v>0</v>
      </c>
      <c r="AA160" s="4" t="inlineStr">
        <is>
          <t>No</t>
        </is>
      </c>
      <c r="AB160" s="4" t="str">
        <f>IF(H160&lt;=Complexity!$C$11,"Q1 (lowest)",IF(H160&lt;=Complexity!$C$12,"Q2",IF(H160&lt;=Complexity!$C$13,"Q3","Q4 (highest)")))</f>
        <v>Q3</v>
      </c>
      <c r="AC160" s="4" t="str">
        <f>IF(J160&lt;=Churn!$C$11,"Q1 (lowest)",IF(J160&lt;=Churn!$C$12,"Q2",IF(J160&lt;=Churn!$C$13,"Q3","Q4 (highest)")))</f>
        <v>Q1 (lowest)</v>
      </c>
      <c r="AD160" s="4" t="str">
        <f>IF(K160&lt;=40,"&lt;=40%",IF(K160&lt;=60,"40-60%",IF(K160&lt;=80,"60-80%","80%+")))</f>
        <v>80%+</v>
      </c>
      <c r="AE160" s="4" t="str">
        <f>IF(M160&lt;=2,"1-2",IF(M160&lt;=4,"3-4",IF(M160&lt;=6,"5-6","7+")))</f>
        <v>1-2</v>
      </c>
    </row>
    <row r="161">
      <c r="A161" s="4" t="inlineStr">
        <is>
          <t>reporting_aggregator</t>
        </is>
      </c>
      <c r="B161" s="4" t="inlineStr">
        <is>
          <t>Reporting</t>
        </is>
      </c>
      <c r="C161" s="4" t="inlineStr">
        <is>
          <t>Java</t>
        </is>
      </c>
      <c r="D161" s="4" t="inlineStr">
        <is>
          <t>v3.0</t>
        </is>
      </c>
      <c r="E161" s="40" t="n">
        <v>45839</v>
      </c>
      <c r="F161" s="4" t="n">
        <v>5</v>
      </c>
      <c r="G161" s="4" t="n">
        <v>1634</v>
      </c>
      <c r="H161" s="18" t="n">
        <v>6.31</v>
      </c>
      <c r="I161" s="18" t="n">
        <v>5.77</v>
      </c>
      <c r="J161" s="29" t="n">
        <v>131.1</v>
      </c>
      <c r="K161" s="29" t="n">
        <v>76.90000000000001</v>
      </c>
      <c r="L161" s="4" t="n">
        <v>3</v>
      </c>
      <c r="M161" s="4" t="n">
        <v>2</v>
      </c>
      <c r="N161" s="4" t="n">
        <v>198</v>
      </c>
      <c r="O161" s="4" t="n">
        <v>0</v>
      </c>
      <c r="P161" s="4" t="n">
        <v>0</v>
      </c>
      <c r="Q161" s="4" t="n">
        <v>0</v>
      </c>
      <c r="R161" s="4" t="n">
        <v>0</v>
      </c>
      <c r="S161" s="4">
        <f>SUM(O161:R161)</f>
        <v>0</v>
      </c>
      <c r="T161" s="18">
        <f>J161/L161</f>
        <v>43.7</v>
      </c>
      <c r="U161" s="18">
        <f>S161/G161*1000</f>
        <v>0</v>
      </c>
      <c r="V161" s="4">
        <f>Q161+R161</f>
        <v>0</v>
      </c>
      <c r="W161" s="29">
        <f>100*((J161-MIN($J$2:$J$236))/(MAX($J$2:$J$236)-MIN($J$2:$J$236))+(H161-MIN($H$2:$H$236))/(MAX($H$2:$H$236)-MIN($H$2:$H$236))+(1-(K161-MIN($K$2:$K$236))/(MAX($K$2:$K$236)-MIN($K$2:$K$236))))/3</f>
        <v>16.867509586895</v>
      </c>
      <c r="X161" s="4" t="n">
        <v>0</v>
      </c>
      <c r="Y161" s="4" t="n">
        <v>0</v>
      </c>
      <c r="Z161" s="4" t="n">
        <v>0</v>
      </c>
      <c r="AA161" s="4" t="inlineStr">
        <is>
          <t>No</t>
        </is>
      </c>
      <c r="AB161" s="4" t="str">
        <f>IF(H161&lt;=Complexity!$C$11,"Q1 (lowest)",IF(H161&lt;=Complexity!$C$12,"Q2",IF(H161&lt;=Complexity!$C$13,"Q3","Q4 (highest)")))</f>
        <v>Q1 (lowest)</v>
      </c>
      <c r="AC161" s="4" t="str">
        <f>IF(J161&lt;=Churn!$C$11,"Q1 (lowest)",IF(J161&lt;=Churn!$C$12,"Q2",IF(J161&lt;=Churn!$C$13,"Q3","Q4 (highest)")))</f>
        <v>Q1 (lowest)</v>
      </c>
      <c r="AD161" s="4" t="str">
        <f>IF(K161&lt;=40,"&lt;=40%",IF(K161&lt;=60,"40-60%",IF(K161&lt;=80,"60-80%","80%+")))</f>
        <v>60-80%</v>
      </c>
      <c r="AE161" s="4" t="str">
        <f>IF(M161&lt;=2,"1-2",IF(M161&lt;=4,"3-4",IF(M161&lt;=6,"5-6","7+")))</f>
        <v>1-2</v>
      </c>
    </row>
    <row r="162">
      <c r="A162" s="4" t="inlineStr">
        <is>
          <t>reporting_analytics</t>
        </is>
      </c>
      <c r="B162" s="4" t="inlineStr">
        <is>
          <t>Reporting</t>
        </is>
      </c>
      <c r="C162" s="4" t="inlineStr">
        <is>
          <t>Python</t>
        </is>
      </c>
      <c r="D162" s="4" t="inlineStr">
        <is>
          <t>v1.0</t>
        </is>
      </c>
      <c r="E162" s="40" t="n">
        <v>45306</v>
      </c>
      <c r="F162" s="4" t="n">
        <v>1</v>
      </c>
      <c r="G162" s="4" t="n">
        <v>1694</v>
      </c>
      <c r="H162" s="18" t="n">
        <v>21.31</v>
      </c>
      <c r="I162" s="18" t="n">
        <v>14.15</v>
      </c>
      <c r="J162" s="29" t="n">
        <v>355.4</v>
      </c>
      <c r="K162" s="29" t="n">
        <v>67.2</v>
      </c>
      <c r="L162" s="4" t="n">
        <v>10</v>
      </c>
      <c r="M162" s="4" t="n">
        <v>3</v>
      </c>
      <c r="N162" s="4" t="n">
        <v>414</v>
      </c>
      <c r="O162" s="4" t="n">
        <v>0</v>
      </c>
      <c r="P162" s="4" t="n">
        <v>1</v>
      </c>
      <c r="Q162" s="4" t="n">
        <v>0</v>
      </c>
      <c r="R162" s="4" t="n">
        <v>1</v>
      </c>
      <c r="S162" s="4">
        <f>SUM(O162:R162)</f>
        <v>2</v>
      </c>
      <c r="T162" s="18">
        <f>J162/L162</f>
        <v>35.54</v>
      </c>
      <c r="U162" s="18">
        <f>S162/G162*1000</f>
        <v>1.18063754427391</v>
      </c>
      <c r="V162" s="4">
        <f>Q162+R162</f>
        <v>1</v>
      </c>
      <c r="W162" s="29">
        <f>100*((J162-MIN($J$2:$J$236))/(MAX($J$2:$J$236)-MIN($J$2:$J$236))+(H162-MIN($H$2:$H$236))/(MAX($H$2:$H$236)-MIN($H$2:$H$236))+(1-(K162-MIN($K$2:$K$236))/(MAX($K$2:$K$236)-MIN($K$2:$K$236))))/3</f>
        <v>43.3643329343606</v>
      </c>
      <c r="X162" s="4" t="n">
        <v>0</v>
      </c>
      <c r="Y162" s="4" t="n">
        <v>0</v>
      </c>
      <c r="Z162" s="4" t="n">
        <v>0</v>
      </c>
      <c r="AA162" s="4" t="inlineStr">
        <is>
          <t>No</t>
        </is>
      </c>
      <c r="AB162" s="4" t="str">
        <f>IF(H162&lt;=Complexity!$C$11,"Q1 (lowest)",IF(H162&lt;=Complexity!$C$12,"Q2",IF(H162&lt;=Complexity!$C$13,"Q3","Q4 (highest)")))</f>
        <v>Q4 (highest)</v>
      </c>
      <c r="AC162" s="4" t="str">
        <f>IF(J162&lt;=Churn!$C$11,"Q1 (lowest)",IF(J162&lt;=Churn!$C$12,"Q2",IF(J162&lt;=Churn!$C$13,"Q3","Q4 (highest)")))</f>
        <v>Q3</v>
      </c>
      <c r="AD162" s="4" t="str">
        <f>IF(K162&lt;=40,"&lt;=40%",IF(K162&lt;=60,"40-60%",IF(K162&lt;=80,"60-80%","80%+")))</f>
        <v>60-80%</v>
      </c>
      <c r="AE162" s="4" t="str">
        <f>IF(M162&lt;=2,"1-2",IF(M162&lt;=4,"3-4",IF(M162&lt;=6,"5-6","7+")))</f>
        <v>3-4</v>
      </c>
    </row>
    <row r="163">
      <c r="A163" s="4" t="inlineStr">
        <is>
          <t>reporting_analytics</t>
        </is>
      </c>
      <c r="B163" s="4" t="inlineStr">
        <is>
          <t>Reporting</t>
        </is>
      </c>
      <c r="C163" s="4" t="inlineStr">
        <is>
          <t>Python</t>
        </is>
      </c>
      <c r="D163" s="4" t="inlineStr">
        <is>
          <t>v1.1</t>
        </is>
      </c>
      <c r="E163" s="40" t="n">
        <v>45432</v>
      </c>
      <c r="F163" s="4" t="n">
        <v>2</v>
      </c>
      <c r="G163" s="4" t="n">
        <v>1694</v>
      </c>
      <c r="H163" s="18" t="n">
        <v>13.84</v>
      </c>
      <c r="I163" s="18" t="n">
        <v>12.69</v>
      </c>
      <c r="J163" s="29" t="n">
        <v>142</v>
      </c>
      <c r="K163" s="29" t="n">
        <v>80.59999999999999</v>
      </c>
      <c r="L163" s="4" t="n">
        <v>5</v>
      </c>
      <c r="M163" s="4" t="n">
        <v>2</v>
      </c>
      <c r="N163" s="4" t="n">
        <v>228</v>
      </c>
      <c r="O163" s="4" t="n">
        <v>0</v>
      </c>
      <c r="P163" s="4" t="n">
        <v>0</v>
      </c>
      <c r="Q163" s="4" t="n">
        <v>0</v>
      </c>
      <c r="R163" s="4" t="n">
        <v>0</v>
      </c>
      <c r="S163" s="4">
        <f>SUM(O163:R163)</f>
        <v>0</v>
      </c>
      <c r="T163" s="18">
        <f>J163/L163</f>
        <v>28.4</v>
      </c>
      <c r="U163" s="18">
        <f>S163/G163*1000</f>
        <v>0</v>
      </c>
      <c r="V163" s="4">
        <f>Q163+R163</f>
        <v>0</v>
      </c>
      <c r="W163" s="29">
        <f>100*((J163-MIN($J$2:$J$236))/(MAX($J$2:$J$236)-MIN($J$2:$J$236))+(H163-MIN($H$2:$H$236))/(MAX($H$2:$H$236)-MIN($H$2:$H$236))+(1-(K163-MIN($K$2:$K$236))/(MAX($K$2:$K$236)-MIN($K$2:$K$236))))/3</f>
        <v>23.4728212510658</v>
      </c>
      <c r="X163" s="4" t="n">
        <v>2</v>
      </c>
      <c r="Y163" s="4" t="n">
        <v>0</v>
      </c>
      <c r="Z163" s="4" t="n">
        <v>0</v>
      </c>
      <c r="AA163" s="4" t="inlineStr">
        <is>
          <t>No</t>
        </is>
      </c>
      <c r="AB163" s="4" t="str">
        <f>IF(H163&lt;=Complexity!$C$11,"Q1 (lowest)",IF(H163&lt;=Complexity!$C$12,"Q2",IF(H163&lt;=Complexity!$C$13,"Q3","Q4 (highest)")))</f>
        <v>Q2</v>
      </c>
      <c r="AC163" s="4" t="str">
        <f>IF(J163&lt;=Churn!$C$11,"Q1 (lowest)",IF(J163&lt;=Churn!$C$12,"Q2",IF(J163&lt;=Churn!$C$13,"Q3","Q4 (highest)")))</f>
        <v>Q1 (lowest)</v>
      </c>
      <c r="AD163" s="4" t="str">
        <f>IF(K163&lt;=40,"&lt;=40%",IF(K163&lt;=60,"40-60%",IF(K163&lt;=80,"60-80%","80%+")))</f>
        <v>80%+</v>
      </c>
      <c r="AE163" s="4" t="str">
        <f>IF(M163&lt;=2,"1-2",IF(M163&lt;=4,"3-4",IF(M163&lt;=6,"5-6","7+")))</f>
        <v>1-2</v>
      </c>
    </row>
    <row r="164">
      <c r="A164" s="4" t="inlineStr">
        <is>
          <t>reporting_analytics</t>
        </is>
      </c>
      <c r="B164" s="4" t="inlineStr">
        <is>
          <t>Reporting</t>
        </is>
      </c>
      <c r="C164" s="4" t="inlineStr">
        <is>
          <t>Python</t>
        </is>
      </c>
      <c r="D164" s="4" t="inlineStr">
        <is>
          <t>v2.0</t>
        </is>
      </c>
      <c r="E164" s="40" t="n">
        <v>45545</v>
      </c>
      <c r="F164" s="4" t="n">
        <v>3</v>
      </c>
      <c r="G164" s="4" t="n">
        <v>1694</v>
      </c>
      <c r="H164" s="18" t="n">
        <v>14.59</v>
      </c>
      <c r="I164" s="18" t="n">
        <v>12.9</v>
      </c>
      <c r="J164" s="29" t="n">
        <v>116.5</v>
      </c>
      <c r="K164" s="29" t="n">
        <v>79</v>
      </c>
      <c r="L164" s="4" t="n">
        <v>4</v>
      </c>
      <c r="M164" s="4" t="n">
        <v>2</v>
      </c>
      <c r="N164" s="4" t="n">
        <v>154</v>
      </c>
      <c r="O164" s="4" t="n">
        <v>0</v>
      </c>
      <c r="P164" s="4" t="n">
        <v>0</v>
      </c>
      <c r="Q164" s="4" t="n">
        <v>0</v>
      </c>
      <c r="R164" s="4" t="n">
        <v>0</v>
      </c>
      <c r="S164" s="4">
        <f>SUM(O164:R164)</f>
        <v>0</v>
      </c>
      <c r="T164" s="18">
        <f>J164/L164</f>
        <v>29.125</v>
      </c>
      <c r="U164" s="18">
        <f>S164/G164*1000</f>
        <v>0</v>
      </c>
      <c r="V164" s="4">
        <f>Q164+R164</f>
        <v>0</v>
      </c>
      <c r="W164" s="29">
        <f>100*((J164-MIN($J$2:$J$236))/(MAX($J$2:$J$236)-MIN($J$2:$J$236))+(H164-MIN($H$2:$H$236))/(MAX($H$2:$H$236)-MIN($H$2:$H$236))+(1-(K164-MIN($K$2:$K$236))/(MAX($K$2:$K$236)-MIN($K$2:$K$236))))/3</f>
        <v>24.299408103906</v>
      </c>
      <c r="X164" s="4" t="n">
        <v>0</v>
      </c>
      <c r="Y164" s="4" t="n">
        <v>0</v>
      </c>
      <c r="Z164" s="4" t="n">
        <v>0</v>
      </c>
      <c r="AA164" s="4" t="inlineStr">
        <is>
          <t>No</t>
        </is>
      </c>
      <c r="AB164" s="4" t="str">
        <f>IF(H164&lt;=Complexity!$C$11,"Q1 (lowest)",IF(H164&lt;=Complexity!$C$12,"Q2",IF(H164&lt;=Complexity!$C$13,"Q3","Q4 (highest)")))</f>
        <v>Q2</v>
      </c>
      <c r="AC164" s="4" t="str">
        <f>IF(J164&lt;=Churn!$C$11,"Q1 (lowest)",IF(J164&lt;=Churn!$C$12,"Q2",IF(J164&lt;=Churn!$C$13,"Q3","Q4 (highest)")))</f>
        <v>Q1 (lowest)</v>
      </c>
      <c r="AD164" s="4" t="str">
        <f>IF(K164&lt;=40,"&lt;=40%",IF(K164&lt;=60,"40-60%",IF(K164&lt;=80,"60-80%","80%+")))</f>
        <v>60-80%</v>
      </c>
      <c r="AE164" s="4" t="str">
        <f>IF(M164&lt;=2,"1-2",IF(M164&lt;=4,"3-4",IF(M164&lt;=6,"5-6","7+")))</f>
        <v>1-2</v>
      </c>
    </row>
    <row r="165">
      <c r="A165" s="4" t="inlineStr">
        <is>
          <t>reporting_analytics</t>
        </is>
      </c>
      <c r="B165" s="4" t="inlineStr">
        <is>
          <t>Reporting</t>
        </is>
      </c>
      <c r="C165" s="4" t="inlineStr">
        <is>
          <t>Python</t>
        </is>
      </c>
      <c r="D165" s="4" t="inlineStr">
        <is>
          <t>v2.1</t>
        </is>
      </c>
      <c r="E165" s="40" t="n">
        <v>45706</v>
      </c>
      <c r="F165" s="4" t="n">
        <v>4</v>
      </c>
      <c r="G165" s="4" t="n">
        <v>1694</v>
      </c>
      <c r="H165" s="18" t="n">
        <v>15.49</v>
      </c>
      <c r="I165" s="18" t="n">
        <v>13.14</v>
      </c>
      <c r="J165" s="29" t="n">
        <v>370</v>
      </c>
      <c r="K165" s="29" t="n">
        <v>70.2</v>
      </c>
      <c r="L165" s="4" t="n">
        <v>13</v>
      </c>
      <c r="M165" s="4" t="n">
        <v>3</v>
      </c>
      <c r="N165" s="4" t="n">
        <v>498</v>
      </c>
      <c r="O165" s="4" t="n">
        <v>0</v>
      </c>
      <c r="P165" s="4" t="n">
        <v>0</v>
      </c>
      <c r="Q165" s="4" t="n">
        <v>0</v>
      </c>
      <c r="R165" s="4" t="n">
        <v>0</v>
      </c>
      <c r="S165" s="4">
        <f>SUM(O165:R165)</f>
        <v>0</v>
      </c>
      <c r="T165" s="18">
        <f>J165/L165</f>
        <v>28.4615384615385</v>
      </c>
      <c r="U165" s="18">
        <f>S165/G165*1000</f>
        <v>0</v>
      </c>
      <c r="V165" s="4">
        <f>Q165+R165</f>
        <v>0</v>
      </c>
      <c r="W165" s="29">
        <f>100*((J165-MIN($J$2:$J$236))/(MAX($J$2:$J$236)-MIN($J$2:$J$236))+(H165-MIN($H$2:$H$236))/(MAX($H$2:$H$236)-MIN($H$2:$H$236))+(1-(K165-MIN($K$2:$K$236))/(MAX($K$2:$K$236)-MIN($K$2:$K$236))))/3</f>
        <v>36.2183179901536</v>
      </c>
      <c r="X165" s="4" t="n">
        <v>0</v>
      </c>
      <c r="Y165" s="4" t="n">
        <v>0</v>
      </c>
      <c r="Z165" s="4" t="n">
        <v>0</v>
      </c>
      <c r="AA165" s="4" t="inlineStr">
        <is>
          <t>No</t>
        </is>
      </c>
      <c r="AB165" s="4" t="str">
        <f>IF(H165&lt;=Complexity!$C$11,"Q1 (lowest)",IF(H165&lt;=Complexity!$C$12,"Q2",IF(H165&lt;=Complexity!$C$13,"Q3","Q4 (highest)")))</f>
        <v>Q3</v>
      </c>
      <c r="AC165" s="4" t="str">
        <f>IF(J165&lt;=Churn!$C$11,"Q1 (lowest)",IF(J165&lt;=Churn!$C$12,"Q2",IF(J165&lt;=Churn!$C$13,"Q3","Q4 (highest)")))</f>
        <v>Q3</v>
      </c>
      <c r="AD165" s="4" t="str">
        <f>IF(K165&lt;=40,"&lt;=40%",IF(K165&lt;=60,"40-60%",IF(K165&lt;=80,"60-80%","80%+")))</f>
        <v>60-80%</v>
      </c>
      <c r="AE165" s="4" t="str">
        <f>IF(M165&lt;=2,"1-2",IF(M165&lt;=4,"3-4",IF(M165&lt;=6,"5-6","7+")))</f>
        <v>3-4</v>
      </c>
    </row>
    <row r="166">
      <c r="A166" s="4" t="inlineStr">
        <is>
          <t>reporting_analytics</t>
        </is>
      </c>
      <c r="B166" s="4" t="inlineStr">
        <is>
          <t>Reporting</t>
        </is>
      </c>
      <c r="C166" s="4" t="inlineStr">
        <is>
          <t>Python</t>
        </is>
      </c>
      <c r="D166" s="4" t="inlineStr">
        <is>
          <t>v3.0</t>
        </is>
      </c>
      <c r="E166" s="40" t="n">
        <v>45839</v>
      </c>
      <c r="F166" s="4" t="n">
        <v>5</v>
      </c>
      <c r="G166" s="4" t="n">
        <v>1694</v>
      </c>
      <c r="H166" s="18" t="n">
        <v>16.58</v>
      </c>
      <c r="I166" s="18" t="n">
        <v>11.03</v>
      </c>
      <c r="J166" s="29" t="n">
        <v>51.2</v>
      </c>
      <c r="K166" s="29" t="n">
        <v>77.40000000000001</v>
      </c>
      <c r="L166" s="4" t="n">
        <v>2</v>
      </c>
      <c r="M166" s="4" t="n">
        <v>1</v>
      </c>
      <c r="N166" s="4" t="n">
        <v>59</v>
      </c>
      <c r="O166" s="4" t="n">
        <v>0</v>
      </c>
      <c r="P166" s="4" t="n">
        <v>0</v>
      </c>
      <c r="Q166" s="4" t="n">
        <v>0</v>
      </c>
      <c r="R166" s="4" t="n">
        <v>0</v>
      </c>
      <c r="S166" s="4">
        <f>SUM(O166:R166)</f>
        <v>0</v>
      </c>
      <c r="T166" s="18">
        <f>J166/L166</f>
        <v>25.6</v>
      </c>
      <c r="U166" s="18">
        <f>S166/G166*1000</f>
        <v>0</v>
      </c>
      <c r="V166" s="4">
        <f>Q166+R166</f>
        <v>0</v>
      </c>
      <c r="W166" s="29">
        <f>100*((J166-MIN($J$2:$J$236))/(MAX($J$2:$J$236)-MIN($J$2:$J$236))+(H166-MIN($H$2:$H$236))/(MAX($H$2:$H$236)-MIN($H$2:$H$236))+(1-(K166-MIN($K$2:$K$236))/(MAX($K$2:$K$236)-MIN($K$2:$K$236))))/3</f>
        <v>25.3510651503754</v>
      </c>
      <c r="X166" s="4" t="n">
        <v>0</v>
      </c>
      <c r="Y166" s="4" t="n">
        <v>0</v>
      </c>
      <c r="Z166" s="4" t="n">
        <v>0</v>
      </c>
      <c r="AA166" s="4" t="inlineStr">
        <is>
          <t>No</t>
        </is>
      </c>
      <c r="AB166" s="4" t="str">
        <f>IF(H166&lt;=Complexity!$C$11,"Q1 (lowest)",IF(H166&lt;=Complexity!$C$12,"Q2",IF(H166&lt;=Complexity!$C$13,"Q3","Q4 (highest)")))</f>
        <v>Q3</v>
      </c>
      <c r="AC166" s="4" t="str">
        <f>IF(J166&lt;=Churn!$C$11,"Q1 (lowest)",IF(J166&lt;=Churn!$C$12,"Q2",IF(J166&lt;=Churn!$C$13,"Q3","Q4 (highest)")))</f>
        <v>Q1 (lowest)</v>
      </c>
      <c r="AD166" s="4" t="str">
        <f>IF(K166&lt;=40,"&lt;=40%",IF(K166&lt;=60,"40-60%",IF(K166&lt;=80,"60-80%","80%+")))</f>
        <v>60-80%</v>
      </c>
      <c r="AE166" s="4" t="str">
        <f>IF(M166&lt;=2,"1-2",IF(M166&lt;=4,"3-4",IF(M166&lt;=6,"5-6","7+")))</f>
        <v>1-2</v>
      </c>
    </row>
    <row r="167">
      <c r="A167" s="4" t="inlineStr">
        <is>
          <t>reporting_audit_logs</t>
        </is>
      </c>
      <c r="B167" s="4" t="inlineStr">
        <is>
          <t>Reporting</t>
        </is>
      </c>
      <c r="C167" s="4" t="inlineStr">
        <is>
          <t>Java</t>
        </is>
      </c>
      <c r="D167" s="4" t="inlineStr">
        <is>
          <t>v1.0</t>
        </is>
      </c>
      <c r="E167" s="40" t="n">
        <v>45306</v>
      </c>
      <c r="F167" s="4" t="n">
        <v>1</v>
      </c>
      <c r="G167" s="4" t="n">
        <v>3061</v>
      </c>
      <c r="H167" s="18" t="n">
        <v>21.78</v>
      </c>
      <c r="I167" s="18" t="n">
        <v>13.83</v>
      </c>
      <c r="J167" s="29" t="n">
        <v>336.2</v>
      </c>
      <c r="K167" s="29" t="n">
        <v>67.8</v>
      </c>
      <c r="L167" s="4" t="n">
        <v>8</v>
      </c>
      <c r="M167" s="4" t="n">
        <v>4</v>
      </c>
      <c r="N167" s="4" t="n">
        <v>518</v>
      </c>
      <c r="O167" s="4" t="n">
        <v>0</v>
      </c>
      <c r="P167" s="4" t="n">
        <v>1</v>
      </c>
      <c r="Q167" s="4" t="n">
        <v>1</v>
      </c>
      <c r="R167" s="4" t="n">
        <v>1</v>
      </c>
      <c r="S167" s="4">
        <f>SUM(O167:R167)</f>
        <v>3</v>
      </c>
      <c r="T167" s="18">
        <f>J167/L167</f>
        <v>42.025</v>
      </c>
      <c r="U167" s="18">
        <f>S167/G167*1000</f>
        <v>0.980071871937275</v>
      </c>
      <c r="V167" s="4">
        <f>Q167+R167</f>
        <v>2</v>
      </c>
      <c r="W167" s="29">
        <f>100*((J167-MIN($J$2:$J$236))/(MAX($J$2:$J$236)-MIN($J$2:$J$236))+(H167-MIN($H$2:$H$236))/(MAX($H$2:$H$236)-MIN($H$2:$H$236))+(1-(K167-MIN($K$2:$K$236))/(MAX($K$2:$K$236)-MIN($K$2:$K$236))))/3</f>
        <v>43.0632278828561</v>
      </c>
      <c r="X167" s="4" t="n">
        <v>0</v>
      </c>
      <c r="Y167" s="4" t="n">
        <v>1</v>
      </c>
      <c r="Z167" s="4" t="n">
        <v>1</v>
      </c>
      <c r="AA167" s="4" t="inlineStr">
        <is>
          <t>No</t>
        </is>
      </c>
      <c r="AB167" s="4" t="str">
        <f>IF(H167&lt;=Complexity!$C$11,"Q1 (lowest)",IF(H167&lt;=Complexity!$C$12,"Q2",IF(H167&lt;=Complexity!$C$13,"Q3","Q4 (highest)")))</f>
        <v>Q4 (highest)</v>
      </c>
      <c r="AC167" s="4" t="str">
        <f>IF(J167&lt;=Churn!$C$11,"Q1 (lowest)",IF(J167&lt;=Churn!$C$12,"Q2",IF(J167&lt;=Churn!$C$13,"Q3","Q4 (highest)")))</f>
        <v>Q3</v>
      </c>
      <c r="AD167" s="4" t="str">
        <f>IF(K167&lt;=40,"&lt;=40%",IF(K167&lt;=60,"40-60%",IF(K167&lt;=80,"60-80%","80%+")))</f>
        <v>60-80%</v>
      </c>
      <c r="AE167" s="4" t="str">
        <f>IF(M167&lt;=2,"1-2",IF(M167&lt;=4,"3-4",IF(M167&lt;=6,"5-6","7+")))</f>
        <v>3-4</v>
      </c>
    </row>
    <row r="168">
      <c r="A168" s="4" t="inlineStr">
        <is>
          <t>reporting_audit_logs</t>
        </is>
      </c>
      <c r="B168" s="4" t="inlineStr">
        <is>
          <t>Reporting</t>
        </is>
      </c>
      <c r="C168" s="4" t="inlineStr">
        <is>
          <t>Java</t>
        </is>
      </c>
      <c r="D168" s="4" t="inlineStr">
        <is>
          <t>v1.1</t>
        </is>
      </c>
      <c r="E168" s="40" t="n">
        <v>45432</v>
      </c>
      <c r="F168" s="4" t="n">
        <v>2</v>
      </c>
      <c r="G168" s="4" t="n">
        <v>3061</v>
      </c>
      <c r="H168" s="18" t="n">
        <v>25.25</v>
      </c>
      <c r="I168" s="18" t="n">
        <v>13.6</v>
      </c>
      <c r="J168" s="29" t="n">
        <v>540.6</v>
      </c>
      <c r="K168" s="29" t="n">
        <v>62.4</v>
      </c>
      <c r="L168" s="4" t="n">
        <v>18</v>
      </c>
      <c r="M168" s="4" t="n">
        <v>4</v>
      </c>
      <c r="N168" s="4" t="n">
        <v>760</v>
      </c>
      <c r="O168" s="4" t="n">
        <v>1</v>
      </c>
      <c r="P168" s="4" t="n">
        <v>0</v>
      </c>
      <c r="Q168" s="4" t="n">
        <v>0</v>
      </c>
      <c r="R168" s="4" t="n">
        <v>1</v>
      </c>
      <c r="S168" s="4">
        <f>SUM(O168:R168)</f>
        <v>2</v>
      </c>
      <c r="T168" s="18">
        <f>J168/L168</f>
        <v>30.0333333333333</v>
      </c>
      <c r="U168" s="18">
        <f>S168/G168*1000</f>
        <v>0.653381247958184</v>
      </c>
      <c r="V168" s="4">
        <f>Q168+R168</f>
        <v>1</v>
      </c>
      <c r="W168" s="29">
        <f>100*((J168-MIN($J$2:$J$236))/(MAX($J$2:$J$236)-MIN($J$2:$J$236))+(H168-MIN($H$2:$H$236))/(MAX($H$2:$H$236)-MIN($H$2:$H$236))+(1-(K168-MIN($K$2:$K$236))/(MAX($K$2:$K$236)-MIN($K$2:$K$236))))/3</f>
        <v>54.8137128414362</v>
      </c>
      <c r="X168" s="4" t="n">
        <v>3</v>
      </c>
      <c r="Y168" s="4" t="n">
        <v>1</v>
      </c>
      <c r="Z168" s="4" t="n">
        <v>0</v>
      </c>
      <c r="AA168" s="4" t="inlineStr">
        <is>
          <t>No</t>
        </is>
      </c>
      <c r="AB168" s="4" t="str">
        <f>IF(H168&lt;=Complexity!$C$11,"Q1 (lowest)",IF(H168&lt;=Complexity!$C$12,"Q2",IF(H168&lt;=Complexity!$C$13,"Q3","Q4 (highest)")))</f>
        <v>Q4 (highest)</v>
      </c>
      <c r="AC168" s="4" t="str">
        <f>IF(J168&lt;=Churn!$C$11,"Q1 (lowest)",IF(J168&lt;=Churn!$C$12,"Q2",IF(J168&lt;=Churn!$C$13,"Q3","Q4 (highest)")))</f>
        <v>Q4 (highest)</v>
      </c>
      <c r="AD168" s="4" t="str">
        <f>IF(K168&lt;=40,"&lt;=40%",IF(K168&lt;=60,"40-60%",IF(K168&lt;=80,"60-80%","80%+")))</f>
        <v>60-80%</v>
      </c>
      <c r="AE168" s="4" t="str">
        <f>IF(M168&lt;=2,"1-2",IF(M168&lt;=4,"3-4",IF(M168&lt;=6,"5-6","7+")))</f>
        <v>3-4</v>
      </c>
    </row>
    <row r="169">
      <c r="A169" s="4" t="inlineStr">
        <is>
          <t>reporting_audit_logs</t>
        </is>
      </c>
      <c r="B169" s="4" t="inlineStr">
        <is>
          <t>Reporting</t>
        </is>
      </c>
      <c r="C169" s="4" t="inlineStr">
        <is>
          <t>Java</t>
        </is>
      </c>
      <c r="D169" s="4" t="inlineStr">
        <is>
          <t>v2.0</t>
        </is>
      </c>
      <c r="E169" s="40" t="n">
        <v>45545</v>
      </c>
      <c r="F169" s="4" t="n">
        <v>3</v>
      </c>
      <c r="G169" s="4" t="n">
        <v>3061</v>
      </c>
      <c r="H169" s="18" t="n">
        <v>19.79</v>
      </c>
      <c r="I169" s="18" t="n">
        <v>14.54</v>
      </c>
      <c r="J169" s="29" t="n">
        <v>278.5</v>
      </c>
      <c r="K169" s="29" t="n">
        <v>61.3</v>
      </c>
      <c r="L169" s="4" t="n">
        <v>9</v>
      </c>
      <c r="M169" s="4" t="n">
        <v>3</v>
      </c>
      <c r="N169" s="4" t="n">
        <v>431</v>
      </c>
      <c r="O169" s="4" t="n">
        <v>0</v>
      </c>
      <c r="P169" s="4" t="n">
        <v>2</v>
      </c>
      <c r="Q169" s="4" t="n">
        <v>0</v>
      </c>
      <c r="R169" s="4" t="n">
        <v>0</v>
      </c>
      <c r="S169" s="4">
        <f>SUM(O169:R169)</f>
        <v>2</v>
      </c>
      <c r="T169" s="18">
        <f>J169/L169</f>
        <v>30.9444444444444</v>
      </c>
      <c r="U169" s="18">
        <f>S169/G169*1000</f>
        <v>0.653381247958184</v>
      </c>
      <c r="V169" s="4">
        <f>Q169+R169</f>
        <v>0</v>
      </c>
      <c r="W169" s="29">
        <f>100*((J169-MIN($J$2:$J$236))/(MAX($J$2:$J$236)-MIN($J$2:$J$236))+(H169-MIN($H$2:$H$236))/(MAX($H$2:$H$236)-MIN($H$2:$H$236))+(1-(K169-MIN($K$2:$K$236))/(MAX($K$2:$K$236)-MIN($K$2:$K$236))))/3</f>
        <v>42.3325987197553</v>
      </c>
      <c r="X169" s="4" t="n">
        <v>2</v>
      </c>
      <c r="Y169" s="4" t="n">
        <v>1</v>
      </c>
      <c r="Z169" s="4" t="n">
        <v>0</v>
      </c>
      <c r="AA169" s="4" t="inlineStr">
        <is>
          <t>No</t>
        </is>
      </c>
      <c r="AB169" s="4" t="str">
        <f>IF(H169&lt;=Complexity!$C$11,"Q1 (lowest)",IF(H169&lt;=Complexity!$C$12,"Q2",IF(H169&lt;=Complexity!$C$13,"Q3","Q4 (highest)")))</f>
        <v>Q4 (highest)</v>
      </c>
      <c r="AC169" s="4" t="str">
        <f>IF(J169&lt;=Churn!$C$11,"Q1 (lowest)",IF(J169&lt;=Churn!$C$12,"Q2",IF(J169&lt;=Churn!$C$13,"Q3","Q4 (highest)")))</f>
        <v>Q2</v>
      </c>
      <c r="AD169" s="4" t="str">
        <f>IF(K169&lt;=40,"&lt;=40%",IF(K169&lt;=60,"40-60%",IF(K169&lt;=80,"60-80%","80%+")))</f>
        <v>60-80%</v>
      </c>
      <c r="AE169" s="4" t="str">
        <f>IF(M169&lt;=2,"1-2",IF(M169&lt;=4,"3-4",IF(M169&lt;=6,"5-6","7+")))</f>
        <v>3-4</v>
      </c>
    </row>
    <row r="170">
      <c r="A170" s="4" t="inlineStr">
        <is>
          <t>reporting_audit_logs</t>
        </is>
      </c>
      <c r="B170" s="4" t="inlineStr">
        <is>
          <t>Reporting</t>
        </is>
      </c>
      <c r="C170" s="4" t="inlineStr">
        <is>
          <t>Java</t>
        </is>
      </c>
      <c r="D170" s="4" t="inlineStr">
        <is>
          <t>v2.1</t>
        </is>
      </c>
      <c r="E170" s="40" t="n">
        <v>45706</v>
      </c>
      <c r="F170" s="4" t="n">
        <v>4</v>
      </c>
      <c r="G170" s="4" t="n">
        <v>3061</v>
      </c>
      <c r="H170" s="18" t="n">
        <v>21.46</v>
      </c>
      <c r="I170" s="18" t="n">
        <v>14.15</v>
      </c>
      <c r="J170" s="29" t="n">
        <v>867.5</v>
      </c>
      <c r="K170" s="29" t="n">
        <v>62.4</v>
      </c>
      <c r="L170" s="4" t="n">
        <v>26</v>
      </c>
      <c r="M170" s="4" t="n">
        <v>6</v>
      </c>
      <c r="N170" s="4" t="n">
        <v>1267</v>
      </c>
      <c r="O170" s="4" t="n">
        <v>1</v>
      </c>
      <c r="P170" s="4" t="n">
        <v>1</v>
      </c>
      <c r="Q170" s="4" t="n">
        <v>0</v>
      </c>
      <c r="R170" s="4" t="n">
        <v>0</v>
      </c>
      <c r="S170" s="4">
        <f>SUM(O170:R170)</f>
        <v>2</v>
      </c>
      <c r="T170" s="18">
        <f>J170/L170</f>
        <v>33.3653846153846</v>
      </c>
      <c r="U170" s="18">
        <f>S170/G170*1000</f>
        <v>0.653381247958184</v>
      </c>
      <c r="V170" s="4">
        <f>Q170+R170</f>
        <v>0</v>
      </c>
      <c r="W170" s="29">
        <f>100*((J170-MIN($J$2:$J$236))/(MAX($J$2:$J$236)-MIN($J$2:$J$236))+(H170-MIN($H$2:$H$236))/(MAX($H$2:$H$236)-MIN($H$2:$H$236))+(1-(K170-MIN($K$2:$K$236))/(MAX($K$2:$K$236)-MIN($K$2:$K$236))))/3</f>
        <v>59.7536441750654</v>
      </c>
      <c r="X170" s="4" t="n">
        <v>2</v>
      </c>
      <c r="Y170" s="4" t="n">
        <v>1</v>
      </c>
      <c r="Z170" s="4" t="n">
        <v>0</v>
      </c>
      <c r="AA170" s="4" t="inlineStr">
        <is>
          <t>No</t>
        </is>
      </c>
      <c r="AB170" s="4" t="str">
        <f>IF(H170&lt;=Complexity!$C$11,"Q1 (lowest)",IF(H170&lt;=Complexity!$C$12,"Q2",IF(H170&lt;=Complexity!$C$13,"Q3","Q4 (highest)")))</f>
        <v>Q4 (highest)</v>
      </c>
      <c r="AC170" s="4" t="str">
        <f>IF(J170&lt;=Churn!$C$11,"Q1 (lowest)",IF(J170&lt;=Churn!$C$12,"Q2",IF(J170&lt;=Churn!$C$13,"Q3","Q4 (highest)")))</f>
        <v>Q4 (highest)</v>
      </c>
      <c r="AD170" s="4" t="str">
        <f>IF(K170&lt;=40,"&lt;=40%",IF(K170&lt;=60,"40-60%",IF(K170&lt;=80,"60-80%","80%+")))</f>
        <v>60-80%</v>
      </c>
      <c r="AE170" s="4" t="str">
        <f>IF(M170&lt;=2,"1-2",IF(M170&lt;=4,"3-4",IF(M170&lt;=6,"5-6","7+")))</f>
        <v>5-6</v>
      </c>
    </row>
    <row r="171">
      <c r="A171" s="4" t="inlineStr">
        <is>
          <t>reporting_audit_logs</t>
        </is>
      </c>
      <c r="B171" s="4" t="inlineStr">
        <is>
          <t>Reporting</t>
        </is>
      </c>
      <c r="C171" s="4" t="inlineStr">
        <is>
          <t>Java</t>
        </is>
      </c>
      <c r="D171" s="4" t="inlineStr">
        <is>
          <t>v3.0</t>
        </is>
      </c>
      <c r="E171" s="40" t="n">
        <v>45839</v>
      </c>
      <c r="F171" s="4" t="n">
        <v>5</v>
      </c>
      <c r="G171" s="4" t="n">
        <v>3061</v>
      </c>
      <c r="H171" s="18" t="n">
        <v>24.92</v>
      </c>
      <c r="I171" s="18" t="n">
        <v>15.65</v>
      </c>
      <c r="J171" s="29" t="n">
        <v>773.4</v>
      </c>
      <c r="K171" s="29" t="n">
        <v>62.4</v>
      </c>
      <c r="L171" s="4" t="n">
        <v>22</v>
      </c>
      <c r="M171" s="4" t="n">
        <v>6</v>
      </c>
      <c r="N171" s="4" t="n">
        <v>1145</v>
      </c>
      <c r="O171" s="4" t="n">
        <v>1</v>
      </c>
      <c r="P171" s="4" t="n">
        <v>3</v>
      </c>
      <c r="Q171" s="4" t="n">
        <v>1</v>
      </c>
      <c r="R171" s="4" t="n">
        <v>0</v>
      </c>
      <c r="S171" s="4">
        <f>SUM(O171:R171)</f>
        <v>5</v>
      </c>
      <c r="T171" s="18">
        <f>J171/L171</f>
        <v>35.1545454545455</v>
      </c>
      <c r="U171" s="18">
        <f>S171/G171*1000</f>
        <v>1.63345311989546</v>
      </c>
      <c r="V171" s="4">
        <f>Q171+R171</f>
        <v>1</v>
      </c>
      <c r="W171" s="29">
        <f>100*((J171-MIN($J$2:$J$236))/(MAX($J$2:$J$236)-MIN($J$2:$J$236))+(H171-MIN($H$2:$H$236))/(MAX($H$2:$H$236)-MIN($H$2:$H$236))+(1-(K171-MIN($K$2:$K$236))/(MAX($K$2:$K$236)-MIN($K$2:$K$236))))/3</f>
        <v>60.8465481086855</v>
      </c>
      <c r="X171" s="4" t="n">
        <v>2</v>
      </c>
      <c r="Y171" s="4" t="n">
        <v>1</v>
      </c>
      <c r="Z171" s="4" t="n">
        <v>1</v>
      </c>
      <c r="AA171" s="4" t="inlineStr">
        <is>
          <t>No</t>
        </is>
      </c>
      <c r="AB171" s="4" t="str">
        <f>IF(H171&lt;=Complexity!$C$11,"Q1 (lowest)",IF(H171&lt;=Complexity!$C$12,"Q2",IF(H171&lt;=Complexity!$C$13,"Q3","Q4 (highest)")))</f>
        <v>Q4 (highest)</v>
      </c>
      <c r="AC171" s="4" t="str">
        <f>IF(J171&lt;=Churn!$C$11,"Q1 (lowest)",IF(J171&lt;=Churn!$C$12,"Q2",IF(J171&lt;=Churn!$C$13,"Q3","Q4 (highest)")))</f>
        <v>Q4 (highest)</v>
      </c>
      <c r="AD171" s="4" t="str">
        <f>IF(K171&lt;=40,"&lt;=40%",IF(K171&lt;=60,"40-60%",IF(K171&lt;=80,"60-80%","80%+")))</f>
        <v>60-80%</v>
      </c>
      <c r="AE171" s="4" t="str">
        <f>IF(M171&lt;=2,"1-2",IF(M171&lt;=4,"3-4",IF(M171&lt;=6,"5-6","7+")))</f>
        <v>5-6</v>
      </c>
    </row>
    <row r="172">
      <c r="A172" s="4" t="inlineStr">
        <is>
          <t>reporting_emailer</t>
        </is>
      </c>
      <c r="B172" s="4" t="inlineStr">
        <is>
          <t>Reporting</t>
        </is>
      </c>
      <c r="C172" s="4" t="inlineStr">
        <is>
          <t>Python</t>
        </is>
      </c>
      <c r="D172" s="4" t="inlineStr">
        <is>
          <t>v1.0</t>
        </is>
      </c>
      <c r="E172" s="40" t="n">
        <v>45306</v>
      </c>
      <c r="F172" s="4" t="n">
        <v>1</v>
      </c>
      <c r="G172" s="4" t="n">
        <v>3572</v>
      </c>
      <c r="H172" s="18" t="n">
        <v>2</v>
      </c>
      <c r="I172" s="18" t="n">
        <v>7.84</v>
      </c>
      <c r="J172" s="29" t="n">
        <v>291.1</v>
      </c>
      <c r="K172" s="29" t="n">
        <v>68.8</v>
      </c>
      <c r="L172" s="4" t="n">
        <v>12</v>
      </c>
      <c r="M172" s="4" t="n">
        <v>3</v>
      </c>
      <c r="N172" s="4" t="n">
        <v>321</v>
      </c>
      <c r="O172" s="4" t="n">
        <v>0</v>
      </c>
      <c r="P172" s="4" t="n">
        <v>0</v>
      </c>
      <c r="Q172" s="4" t="n">
        <v>0</v>
      </c>
      <c r="R172" s="4" t="n">
        <v>0</v>
      </c>
      <c r="S172" s="4">
        <f>SUM(O172:R172)</f>
        <v>0</v>
      </c>
      <c r="T172" s="18">
        <f>J172/L172</f>
        <v>24.2583333333333</v>
      </c>
      <c r="U172" s="18">
        <f>S172/G172*1000</f>
        <v>0</v>
      </c>
      <c r="V172" s="4">
        <f>Q172+R172</f>
        <v>0</v>
      </c>
      <c r="W172" s="29">
        <f>100*((J172-MIN($J$2:$J$236))/(MAX($J$2:$J$236)-MIN($J$2:$J$236))+(H172-MIN($H$2:$H$236))/(MAX($H$2:$H$236)-MIN($H$2:$H$236))+(1-(K172-MIN($K$2:$K$236))/(MAX($K$2:$K$236)-MIN($K$2:$K$236))))/3</f>
        <v>20.3727557314525</v>
      </c>
      <c r="X172" s="4" t="n">
        <v>0</v>
      </c>
      <c r="Y172" s="4" t="n">
        <v>0</v>
      </c>
      <c r="Z172" s="4" t="n">
        <v>0</v>
      </c>
      <c r="AA172" s="4" t="inlineStr">
        <is>
          <t>No</t>
        </is>
      </c>
      <c r="AB172" s="4" t="str">
        <f>IF(H172&lt;=Complexity!$C$11,"Q1 (lowest)",IF(H172&lt;=Complexity!$C$12,"Q2",IF(H172&lt;=Complexity!$C$13,"Q3","Q4 (highest)")))</f>
        <v>Q1 (lowest)</v>
      </c>
      <c r="AC172" s="4" t="str">
        <f>IF(J172&lt;=Churn!$C$11,"Q1 (lowest)",IF(J172&lt;=Churn!$C$12,"Q2",IF(J172&lt;=Churn!$C$13,"Q3","Q4 (highest)")))</f>
        <v>Q3</v>
      </c>
      <c r="AD172" s="4" t="str">
        <f>IF(K172&lt;=40,"&lt;=40%",IF(K172&lt;=60,"40-60%",IF(K172&lt;=80,"60-80%","80%+")))</f>
        <v>60-80%</v>
      </c>
      <c r="AE172" s="4" t="str">
        <f>IF(M172&lt;=2,"1-2",IF(M172&lt;=4,"3-4",IF(M172&lt;=6,"5-6","7+")))</f>
        <v>3-4</v>
      </c>
    </row>
    <row r="173">
      <c r="A173" s="4" t="inlineStr">
        <is>
          <t>reporting_emailer</t>
        </is>
      </c>
      <c r="B173" s="4" t="inlineStr">
        <is>
          <t>Reporting</t>
        </is>
      </c>
      <c r="C173" s="4" t="inlineStr">
        <is>
          <t>Python</t>
        </is>
      </c>
      <c r="D173" s="4" t="inlineStr">
        <is>
          <t>v1.1</t>
        </is>
      </c>
      <c r="E173" s="40" t="n">
        <v>45432</v>
      </c>
      <c r="F173" s="4" t="n">
        <v>2</v>
      </c>
      <c r="G173" s="4" t="n">
        <v>3572</v>
      </c>
      <c r="H173" s="18" t="n">
        <v>2.34</v>
      </c>
      <c r="I173" s="18" t="n">
        <v>5.965</v>
      </c>
      <c r="J173" s="29" t="n">
        <v>437</v>
      </c>
      <c r="K173" s="29" t="n">
        <v>79.3</v>
      </c>
      <c r="L173" s="4" t="n">
        <v>14</v>
      </c>
      <c r="M173" s="4" t="n">
        <v>5</v>
      </c>
      <c r="N173" s="4" t="n">
        <v>590</v>
      </c>
      <c r="O173" s="4" t="n">
        <v>0</v>
      </c>
      <c r="P173" s="4" t="n">
        <v>0</v>
      </c>
      <c r="Q173" s="4" t="n">
        <v>0</v>
      </c>
      <c r="R173" s="4" t="n">
        <v>0</v>
      </c>
      <c r="S173" s="4">
        <f>SUM(O173:R173)</f>
        <v>0</v>
      </c>
      <c r="T173" s="18">
        <f>J173/L173</f>
        <v>31.2142857142857</v>
      </c>
      <c r="U173" s="18">
        <f>S173/G173*1000</f>
        <v>0</v>
      </c>
      <c r="V173" s="4">
        <f>Q173+R173</f>
        <v>0</v>
      </c>
      <c r="W173" s="29">
        <f>100*((J173-MIN($J$2:$J$236))/(MAX($J$2:$J$236)-MIN($J$2:$J$236))+(H173-MIN($H$2:$H$236))/(MAX($H$2:$H$236)-MIN($H$2:$H$236))+(1-(K173-MIN($K$2:$K$236))/(MAX($K$2:$K$236)-MIN($K$2:$K$236))))/3</f>
        <v>19.9461669224607</v>
      </c>
      <c r="X173" s="4" t="n">
        <v>0</v>
      </c>
      <c r="Y173" s="4" t="n">
        <v>0</v>
      </c>
      <c r="Z173" s="4" t="n">
        <v>0</v>
      </c>
      <c r="AA173" s="4" t="inlineStr">
        <is>
          <t>No</t>
        </is>
      </c>
      <c r="AB173" s="4" t="str">
        <f>IF(H173&lt;=Complexity!$C$11,"Q1 (lowest)",IF(H173&lt;=Complexity!$C$12,"Q2",IF(H173&lt;=Complexity!$C$13,"Q3","Q4 (highest)")))</f>
        <v>Q1 (lowest)</v>
      </c>
      <c r="AC173" s="4" t="str">
        <f>IF(J173&lt;=Churn!$C$11,"Q1 (lowest)",IF(J173&lt;=Churn!$C$12,"Q2",IF(J173&lt;=Churn!$C$13,"Q3","Q4 (highest)")))</f>
        <v>Q4 (highest)</v>
      </c>
      <c r="AD173" s="4" t="str">
        <f>IF(K173&lt;=40,"&lt;=40%",IF(K173&lt;=60,"40-60%",IF(K173&lt;=80,"60-80%","80%+")))</f>
        <v>60-80%</v>
      </c>
      <c r="AE173" s="4" t="str">
        <f>IF(M173&lt;=2,"1-2",IF(M173&lt;=4,"3-4",IF(M173&lt;=6,"5-6","7+")))</f>
        <v>5-6</v>
      </c>
    </row>
    <row r="174">
      <c r="A174" s="4" t="inlineStr">
        <is>
          <t>reporting_emailer</t>
        </is>
      </c>
      <c r="B174" s="4" t="inlineStr">
        <is>
          <t>Reporting</t>
        </is>
      </c>
      <c r="C174" s="4" t="inlineStr">
        <is>
          <t>Python</t>
        </is>
      </c>
      <c r="D174" s="4" t="inlineStr">
        <is>
          <t>v2.0</t>
        </is>
      </c>
      <c r="E174" s="40" t="n">
        <v>45545</v>
      </c>
      <c r="F174" s="4" t="n">
        <v>3</v>
      </c>
      <c r="G174" s="4" t="n">
        <v>3572</v>
      </c>
      <c r="H174" s="18" t="n">
        <v>4.52</v>
      </c>
      <c r="I174" s="18" t="n">
        <v>4.09</v>
      </c>
      <c r="J174" s="29" t="n">
        <v>230.1</v>
      </c>
      <c r="K174" s="29" t="n">
        <v>83.2</v>
      </c>
      <c r="L174" s="4" t="n">
        <v>7</v>
      </c>
      <c r="M174" s="4" t="n">
        <v>3</v>
      </c>
      <c r="N174" s="4" t="n">
        <v>380</v>
      </c>
      <c r="O174" s="4" t="n">
        <v>1</v>
      </c>
      <c r="P174" s="4" t="n">
        <v>0</v>
      </c>
      <c r="Q174" s="4" t="n">
        <v>0</v>
      </c>
      <c r="R174" s="4" t="n">
        <v>0</v>
      </c>
      <c r="S174" s="4">
        <f>SUM(O174:R174)</f>
        <v>1</v>
      </c>
      <c r="T174" s="18">
        <f>J174/L174</f>
        <v>32.8714285714286</v>
      </c>
      <c r="U174" s="18">
        <f>S174/G174*1000</f>
        <v>0.279955207166853</v>
      </c>
      <c r="V174" s="4">
        <f>Q174+R174</f>
        <v>0</v>
      </c>
      <c r="W174" s="29">
        <f>100*((J174-MIN($J$2:$J$236))/(MAX($J$2:$J$236)-MIN($J$2:$J$236))+(H174-MIN($H$2:$H$236))/(MAX($H$2:$H$236)-MIN($H$2:$H$236))+(1-(K174-MIN($K$2:$K$236))/(MAX($K$2:$K$236)-MIN($K$2:$K$236))))/3</f>
        <v>14.8090057365016</v>
      </c>
      <c r="X174" s="4" t="n">
        <v>0</v>
      </c>
      <c r="Y174" s="4" t="n">
        <v>0</v>
      </c>
      <c r="Z174" s="4" t="n">
        <v>0</v>
      </c>
      <c r="AA174" s="4" t="inlineStr">
        <is>
          <t>No</t>
        </is>
      </c>
      <c r="AB174" s="4" t="str">
        <f>IF(H174&lt;=Complexity!$C$11,"Q1 (lowest)",IF(H174&lt;=Complexity!$C$12,"Q2",IF(H174&lt;=Complexity!$C$13,"Q3","Q4 (highest)")))</f>
        <v>Q1 (lowest)</v>
      </c>
      <c r="AC174" s="4" t="str">
        <f>IF(J174&lt;=Churn!$C$11,"Q1 (lowest)",IF(J174&lt;=Churn!$C$12,"Q2",IF(J174&lt;=Churn!$C$13,"Q3","Q4 (highest)")))</f>
        <v>Q2</v>
      </c>
      <c r="AD174" s="4" t="str">
        <f>IF(K174&lt;=40,"&lt;=40%",IF(K174&lt;=60,"40-60%",IF(K174&lt;=80,"60-80%","80%+")))</f>
        <v>80%+</v>
      </c>
      <c r="AE174" s="4" t="str">
        <f>IF(M174&lt;=2,"1-2",IF(M174&lt;=4,"3-4",IF(M174&lt;=6,"5-6","7+")))</f>
        <v>3-4</v>
      </c>
    </row>
    <row r="175">
      <c r="A175" s="4" t="inlineStr">
        <is>
          <t>reporting_emailer</t>
        </is>
      </c>
      <c r="B175" s="4" t="inlineStr">
        <is>
          <t>Reporting</t>
        </is>
      </c>
      <c r="C175" s="4" t="inlineStr">
        <is>
          <t>Python</t>
        </is>
      </c>
      <c r="D175" s="4" t="inlineStr">
        <is>
          <t>v2.1</t>
        </is>
      </c>
      <c r="E175" s="40" t="n">
        <v>45706</v>
      </c>
      <c r="F175" s="4" t="n">
        <v>4</v>
      </c>
      <c r="G175" s="4" t="n">
        <v>3572</v>
      </c>
      <c r="H175" s="18" t="n">
        <v>2</v>
      </c>
      <c r="I175" s="18" t="n">
        <v>1</v>
      </c>
      <c r="J175" s="29" t="n">
        <v>287.4</v>
      </c>
      <c r="K175" s="29" t="n">
        <v>81.5</v>
      </c>
      <c r="L175" s="4" t="n">
        <v>7</v>
      </c>
      <c r="M175" s="4" t="n">
        <v>3</v>
      </c>
      <c r="N175" s="4" t="n">
        <v>512</v>
      </c>
      <c r="O175" s="4" t="n">
        <v>0</v>
      </c>
      <c r="P175" s="4" t="n">
        <v>0</v>
      </c>
      <c r="Q175" s="4" t="n">
        <v>0</v>
      </c>
      <c r="R175" s="4" t="n">
        <v>0</v>
      </c>
      <c r="S175" s="4">
        <f>SUM(O175:R175)</f>
        <v>0</v>
      </c>
      <c r="T175" s="18">
        <f>J175/L175</f>
        <v>41.0571428571429</v>
      </c>
      <c r="U175" s="18">
        <f>S175/G175*1000</f>
        <v>0</v>
      </c>
      <c r="V175" s="4">
        <f>Q175+R175</f>
        <v>0</v>
      </c>
      <c r="W175" s="29">
        <f>100*((J175-MIN($J$2:$J$236))/(MAX($J$2:$J$236)-MIN($J$2:$J$236))+(H175-MIN($H$2:$H$236))/(MAX($H$2:$H$236)-MIN($H$2:$H$236))+(1-(K175-MIN($K$2:$K$236))/(MAX($K$2:$K$236)-MIN($K$2:$K$236))))/3</f>
        <v>14.4801515931872</v>
      </c>
      <c r="X175" s="4" t="n">
        <v>1</v>
      </c>
      <c r="Y175" s="4" t="n">
        <v>0</v>
      </c>
      <c r="Z175" s="4" t="n">
        <v>0</v>
      </c>
      <c r="AA175" s="4" t="inlineStr">
        <is>
          <t>No</t>
        </is>
      </c>
      <c r="AB175" s="4" t="str">
        <f>IF(H175&lt;=Complexity!$C$11,"Q1 (lowest)",IF(H175&lt;=Complexity!$C$12,"Q2",IF(H175&lt;=Complexity!$C$13,"Q3","Q4 (highest)")))</f>
        <v>Q1 (lowest)</v>
      </c>
      <c r="AC175" s="4" t="str">
        <f>IF(J175&lt;=Churn!$C$11,"Q1 (lowest)",IF(J175&lt;=Churn!$C$12,"Q2",IF(J175&lt;=Churn!$C$13,"Q3","Q4 (highest)")))</f>
        <v>Q3</v>
      </c>
      <c r="AD175" s="4" t="str">
        <f>IF(K175&lt;=40,"&lt;=40%",IF(K175&lt;=60,"40-60%",IF(K175&lt;=80,"60-80%","80%+")))</f>
        <v>80%+</v>
      </c>
      <c r="AE175" s="4" t="str">
        <f>IF(M175&lt;=2,"1-2",IF(M175&lt;=4,"3-4",IF(M175&lt;=6,"5-6","7+")))</f>
        <v>3-4</v>
      </c>
    </row>
    <row r="176">
      <c r="A176" s="4" t="inlineStr">
        <is>
          <t>reporting_emailer</t>
        </is>
      </c>
      <c r="B176" s="4" t="inlineStr">
        <is>
          <t>Reporting</t>
        </is>
      </c>
      <c r="C176" s="4" t="inlineStr">
        <is>
          <t>Python</t>
        </is>
      </c>
      <c r="D176" s="4" t="inlineStr">
        <is>
          <t>v3.0</t>
        </is>
      </c>
      <c r="E176" s="40" t="n">
        <v>45839</v>
      </c>
      <c r="F176" s="4" t="n">
        <v>5</v>
      </c>
      <c r="G176" s="4" t="n">
        <v>3572</v>
      </c>
      <c r="H176" s="18" t="n">
        <v>3.52</v>
      </c>
      <c r="I176" s="18" t="n">
        <v>10.65</v>
      </c>
      <c r="J176" s="29" t="n">
        <v>618.9</v>
      </c>
      <c r="K176" s="29" t="n">
        <v>71.90000000000001</v>
      </c>
      <c r="L176" s="4" t="n">
        <v>31</v>
      </c>
      <c r="M176" s="4" t="n">
        <v>8</v>
      </c>
      <c r="N176" s="4" t="n">
        <v>734</v>
      </c>
      <c r="O176" s="4" t="n">
        <v>0</v>
      </c>
      <c r="P176" s="4" t="n">
        <v>0</v>
      </c>
      <c r="Q176" s="4" t="n">
        <v>0</v>
      </c>
      <c r="R176" s="4" t="n">
        <v>0</v>
      </c>
      <c r="S176" s="4">
        <f>SUM(O176:R176)</f>
        <v>0</v>
      </c>
      <c r="T176" s="18">
        <f>J176/L176</f>
        <v>19.9645161290323</v>
      </c>
      <c r="U176" s="18">
        <f>S176/G176*1000</f>
        <v>0</v>
      </c>
      <c r="V176" s="4">
        <f>Q176+R176</f>
        <v>0</v>
      </c>
      <c r="W176" s="29">
        <f>100*((J176-MIN($J$2:$J$236))/(MAX($J$2:$J$236)-MIN($J$2:$J$236))+(H176-MIN($H$2:$H$236))/(MAX($H$2:$H$236)-MIN($H$2:$H$236))+(1-(K176-MIN($K$2:$K$236))/(MAX($K$2:$K$236)-MIN($K$2:$K$236))))/3</f>
        <v>29.5607181896924</v>
      </c>
      <c r="X176" s="4" t="n">
        <v>0</v>
      </c>
      <c r="Y176" s="4" t="n">
        <v>0</v>
      </c>
      <c r="Z176" s="4" t="n">
        <v>0</v>
      </c>
      <c r="AA176" s="4" t="inlineStr">
        <is>
          <t>No</t>
        </is>
      </c>
      <c r="AB176" s="4" t="str">
        <f>IF(H176&lt;=Complexity!$C$11,"Q1 (lowest)",IF(H176&lt;=Complexity!$C$12,"Q2",IF(H176&lt;=Complexity!$C$13,"Q3","Q4 (highest)")))</f>
        <v>Q1 (lowest)</v>
      </c>
      <c r="AC176" s="4" t="str">
        <f>IF(J176&lt;=Churn!$C$11,"Q1 (lowest)",IF(J176&lt;=Churn!$C$12,"Q2",IF(J176&lt;=Churn!$C$13,"Q3","Q4 (highest)")))</f>
        <v>Q4 (highest)</v>
      </c>
      <c r="AD176" s="4" t="str">
        <f>IF(K176&lt;=40,"&lt;=40%",IF(K176&lt;=60,"40-60%",IF(K176&lt;=80,"60-80%","80%+")))</f>
        <v>60-80%</v>
      </c>
      <c r="AE176" s="4" t="str">
        <f>IF(M176&lt;=2,"1-2",IF(M176&lt;=4,"3-4",IF(M176&lt;=6,"5-6","7+")))</f>
        <v>7+</v>
      </c>
    </row>
    <row r="177">
      <c r="A177" s="4" t="inlineStr">
        <is>
          <t>reporting_export</t>
        </is>
      </c>
      <c r="B177" s="4" t="inlineStr">
        <is>
          <t>Reporting</t>
        </is>
      </c>
      <c r="C177" s="4" t="inlineStr">
        <is>
          <t>Java</t>
        </is>
      </c>
      <c r="D177" s="4" t="inlineStr">
        <is>
          <t>v1.0</t>
        </is>
      </c>
      <c r="E177" s="40" t="n">
        <v>45306</v>
      </c>
      <c r="F177" s="4" t="n">
        <v>1</v>
      </c>
      <c r="G177" s="4" t="n">
        <v>1649</v>
      </c>
      <c r="H177" s="18" t="n">
        <v>16.64</v>
      </c>
      <c r="I177" s="18" t="n">
        <v>11.7</v>
      </c>
      <c r="J177" s="29" t="n">
        <v>299.9</v>
      </c>
      <c r="K177" s="29" t="n">
        <v>68.2</v>
      </c>
      <c r="L177" s="4" t="n">
        <v>10</v>
      </c>
      <c r="M177" s="4" t="n">
        <v>3</v>
      </c>
      <c r="N177" s="4" t="n">
        <v>383</v>
      </c>
      <c r="O177" s="4" t="n">
        <v>0</v>
      </c>
      <c r="P177" s="4" t="n">
        <v>0</v>
      </c>
      <c r="Q177" s="4" t="n">
        <v>0</v>
      </c>
      <c r="R177" s="4" t="n">
        <v>0</v>
      </c>
      <c r="S177" s="4">
        <f>SUM(O177:R177)</f>
        <v>0</v>
      </c>
      <c r="T177" s="18">
        <f>J177/L177</f>
        <v>29.99</v>
      </c>
      <c r="U177" s="18">
        <f>S177/G177*1000</f>
        <v>0</v>
      </c>
      <c r="V177" s="4">
        <f>Q177+R177</f>
        <v>0</v>
      </c>
      <c r="W177" s="29">
        <f>100*((J177-MIN($J$2:$J$236))/(MAX($J$2:$J$236)-MIN($J$2:$J$236))+(H177-MIN($H$2:$H$236))/(MAX($H$2:$H$236)-MIN($H$2:$H$236))+(1-(K177-MIN($K$2:$K$236))/(MAX($K$2:$K$236)-MIN($K$2:$K$236))))/3</f>
        <v>36.4290424149212</v>
      </c>
      <c r="X177" s="4" t="n">
        <v>0</v>
      </c>
      <c r="Y177" s="4" t="n">
        <v>1</v>
      </c>
      <c r="Z177" s="4" t="n">
        <v>0</v>
      </c>
      <c r="AA177" s="4" t="inlineStr">
        <is>
          <t>No</t>
        </is>
      </c>
      <c r="AB177" s="4" t="str">
        <f>IF(H177&lt;=Complexity!$C$11,"Q1 (lowest)",IF(H177&lt;=Complexity!$C$12,"Q2",IF(H177&lt;=Complexity!$C$13,"Q3","Q4 (highest)")))</f>
        <v>Q3</v>
      </c>
      <c r="AC177" s="4" t="str">
        <f>IF(J177&lt;=Churn!$C$11,"Q1 (lowest)",IF(J177&lt;=Churn!$C$12,"Q2",IF(J177&lt;=Churn!$C$13,"Q3","Q4 (highest)")))</f>
        <v>Q3</v>
      </c>
      <c r="AD177" s="4" t="str">
        <f>IF(K177&lt;=40,"&lt;=40%",IF(K177&lt;=60,"40-60%",IF(K177&lt;=80,"60-80%","80%+")))</f>
        <v>60-80%</v>
      </c>
      <c r="AE177" s="4" t="str">
        <f>IF(M177&lt;=2,"1-2",IF(M177&lt;=4,"3-4",IF(M177&lt;=6,"5-6","7+")))</f>
        <v>3-4</v>
      </c>
    </row>
    <row r="178">
      <c r="A178" s="4" t="inlineStr">
        <is>
          <t>reporting_export</t>
        </is>
      </c>
      <c r="B178" s="4" t="inlineStr">
        <is>
          <t>Reporting</t>
        </is>
      </c>
      <c r="C178" s="4" t="inlineStr">
        <is>
          <t>Java</t>
        </is>
      </c>
      <c r="D178" s="4" t="inlineStr">
        <is>
          <t>v1.1</t>
        </is>
      </c>
      <c r="E178" s="40" t="n">
        <v>45432</v>
      </c>
      <c r="F178" s="4" t="n">
        <v>2</v>
      </c>
      <c r="G178" s="4" t="n">
        <v>1649</v>
      </c>
      <c r="H178" s="18" t="n">
        <v>17.03</v>
      </c>
      <c r="I178" s="18" t="n">
        <v>11.85</v>
      </c>
      <c r="J178" s="29" t="n">
        <v>178</v>
      </c>
      <c r="K178" s="29" t="n">
        <v>71.3</v>
      </c>
      <c r="L178" s="4" t="n">
        <v>7</v>
      </c>
      <c r="M178" s="4" t="n">
        <v>4</v>
      </c>
      <c r="N178" s="4" t="n">
        <v>293</v>
      </c>
      <c r="O178" s="4" t="n">
        <v>0</v>
      </c>
      <c r="P178" s="4" t="n">
        <v>1</v>
      </c>
      <c r="Q178" s="4" t="n">
        <v>1</v>
      </c>
      <c r="R178" s="4" t="n">
        <v>0</v>
      </c>
      <c r="S178" s="4">
        <f>SUM(O178:R178)</f>
        <v>2</v>
      </c>
      <c r="T178" s="18">
        <f>J178/L178</f>
        <v>25.4285714285714</v>
      </c>
      <c r="U178" s="18">
        <f>S178/G178*1000</f>
        <v>1.21285627653123</v>
      </c>
      <c r="V178" s="4">
        <f>Q178+R178</f>
        <v>1</v>
      </c>
      <c r="W178" s="29">
        <f>100*((J178-MIN($J$2:$J$236))/(MAX($J$2:$J$236)-MIN($J$2:$J$236))+(H178-MIN($H$2:$H$236))/(MAX($H$2:$H$236)-MIN($H$2:$H$236))+(1-(K178-MIN($K$2:$K$236))/(MAX($K$2:$K$236)-MIN($K$2:$K$236))))/3</f>
        <v>32.0870848442122</v>
      </c>
      <c r="X178" s="4" t="n">
        <v>0</v>
      </c>
      <c r="Y178" s="4" t="n">
        <v>1</v>
      </c>
      <c r="Z178" s="4" t="n">
        <v>0</v>
      </c>
      <c r="AA178" s="4" t="inlineStr">
        <is>
          <t>No</t>
        </is>
      </c>
      <c r="AB178" s="4" t="str">
        <f>IF(H178&lt;=Complexity!$C$11,"Q1 (lowest)",IF(H178&lt;=Complexity!$C$12,"Q2",IF(H178&lt;=Complexity!$C$13,"Q3","Q4 (highest)")))</f>
        <v>Q3</v>
      </c>
      <c r="AC178" s="4" t="str">
        <f>IF(J178&lt;=Churn!$C$11,"Q1 (lowest)",IF(J178&lt;=Churn!$C$12,"Q2",IF(J178&lt;=Churn!$C$13,"Q3","Q4 (highest)")))</f>
        <v>Q2</v>
      </c>
      <c r="AD178" s="4" t="str">
        <f>IF(K178&lt;=40,"&lt;=40%",IF(K178&lt;=60,"40-60%",IF(K178&lt;=80,"60-80%","80%+")))</f>
        <v>60-80%</v>
      </c>
      <c r="AE178" s="4" t="str">
        <f>IF(M178&lt;=2,"1-2",IF(M178&lt;=4,"3-4",IF(M178&lt;=6,"5-6","7+")))</f>
        <v>3-4</v>
      </c>
    </row>
    <row r="179">
      <c r="A179" s="4" t="inlineStr">
        <is>
          <t>reporting_export</t>
        </is>
      </c>
      <c r="B179" s="4" t="inlineStr">
        <is>
          <t>Reporting</t>
        </is>
      </c>
      <c r="C179" s="4" t="inlineStr">
        <is>
          <t>Java</t>
        </is>
      </c>
      <c r="D179" s="4" t="inlineStr">
        <is>
          <t>v2.0</t>
        </is>
      </c>
      <c r="E179" s="40" t="n">
        <v>45545</v>
      </c>
      <c r="F179" s="4" t="n">
        <v>3</v>
      </c>
      <c r="G179" s="4" t="n">
        <v>1649</v>
      </c>
      <c r="H179" s="18" t="n">
        <v>17.19</v>
      </c>
      <c r="I179" s="18" t="n">
        <v>13.43</v>
      </c>
      <c r="J179" s="29" t="n">
        <v>320.5</v>
      </c>
      <c r="K179" s="29" t="n">
        <v>64.3</v>
      </c>
      <c r="L179" s="4" t="n">
        <v>8</v>
      </c>
      <c r="M179" s="4" t="n">
        <v>2</v>
      </c>
      <c r="N179" s="4" t="n">
        <v>479</v>
      </c>
      <c r="O179" s="4" t="n">
        <v>1</v>
      </c>
      <c r="P179" s="4" t="n">
        <v>0</v>
      </c>
      <c r="Q179" s="4" t="n">
        <v>0</v>
      </c>
      <c r="R179" s="4" t="n">
        <v>0</v>
      </c>
      <c r="S179" s="4">
        <f>SUM(O179:R179)</f>
        <v>1</v>
      </c>
      <c r="T179" s="18">
        <f>J179/L179</f>
        <v>40.0625</v>
      </c>
      <c r="U179" s="18">
        <f>S179/G179*1000</f>
        <v>0.606428138265616</v>
      </c>
      <c r="V179" s="4">
        <f>Q179+R179</f>
        <v>0</v>
      </c>
      <c r="W179" s="29">
        <f>100*((J179-MIN($J$2:$J$236))/(MAX($J$2:$J$236)-MIN($J$2:$J$236))+(H179-MIN($H$2:$H$236))/(MAX($H$2:$H$236)-MIN($H$2:$H$236))+(1-(K179-MIN($K$2:$K$236))/(MAX($K$2:$K$236)-MIN($K$2:$K$236))))/3</f>
        <v>39.3561246392692</v>
      </c>
      <c r="X179" s="4" t="n">
        <v>2</v>
      </c>
      <c r="Y179" s="4" t="n">
        <v>1</v>
      </c>
      <c r="Z179" s="4" t="n">
        <v>0</v>
      </c>
      <c r="AA179" s="4" t="inlineStr">
        <is>
          <t>No</t>
        </is>
      </c>
      <c r="AB179" s="4" t="str">
        <f>IF(H179&lt;=Complexity!$C$11,"Q1 (lowest)",IF(H179&lt;=Complexity!$C$12,"Q2",IF(H179&lt;=Complexity!$C$13,"Q3","Q4 (highest)")))</f>
        <v>Q3</v>
      </c>
      <c r="AC179" s="4" t="str">
        <f>IF(J179&lt;=Churn!$C$11,"Q1 (lowest)",IF(J179&lt;=Churn!$C$12,"Q2",IF(J179&lt;=Churn!$C$13,"Q3","Q4 (highest)")))</f>
        <v>Q3</v>
      </c>
      <c r="AD179" s="4" t="str">
        <f>IF(K179&lt;=40,"&lt;=40%",IF(K179&lt;=60,"40-60%",IF(K179&lt;=80,"60-80%","80%+")))</f>
        <v>60-80%</v>
      </c>
      <c r="AE179" s="4" t="str">
        <f>IF(M179&lt;=2,"1-2",IF(M179&lt;=4,"3-4",IF(M179&lt;=6,"5-6","7+")))</f>
        <v>1-2</v>
      </c>
    </row>
    <row r="180">
      <c r="A180" s="4" t="inlineStr">
        <is>
          <t>reporting_export</t>
        </is>
      </c>
      <c r="B180" s="4" t="inlineStr">
        <is>
          <t>Reporting</t>
        </is>
      </c>
      <c r="C180" s="4" t="inlineStr">
        <is>
          <t>Java</t>
        </is>
      </c>
      <c r="D180" s="4" t="inlineStr">
        <is>
          <t>v2.1</t>
        </is>
      </c>
      <c r="E180" s="40" t="n">
        <v>45706</v>
      </c>
      <c r="F180" s="4" t="n">
        <v>4</v>
      </c>
      <c r="G180" s="4" t="n">
        <v>1649</v>
      </c>
      <c r="H180" s="18" t="n">
        <v>13.62</v>
      </c>
      <c r="I180" s="18" t="n">
        <v>12</v>
      </c>
      <c r="J180" s="29" t="n">
        <v>200.8</v>
      </c>
      <c r="K180" s="29" t="n">
        <v>64.5</v>
      </c>
      <c r="L180" s="4" t="n">
        <v>6</v>
      </c>
      <c r="M180" s="4" t="n">
        <v>2</v>
      </c>
      <c r="N180" s="4" t="n">
        <v>352</v>
      </c>
      <c r="O180" s="4" t="n">
        <v>0</v>
      </c>
      <c r="P180" s="4" t="n">
        <v>1</v>
      </c>
      <c r="Q180" s="4" t="n">
        <v>0</v>
      </c>
      <c r="R180" s="4" t="n">
        <v>0</v>
      </c>
      <c r="S180" s="4">
        <f>SUM(O180:R180)</f>
        <v>1</v>
      </c>
      <c r="T180" s="18">
        <f>J180/L180</f>
        <v>33.4666666666667</v>
      </c>
      <c r="U180" s="18">
        <f>S180/G180*1000</f>
        <v>0.606428138265616</v>
      </c>
      <c r="V180" s="4">
        <f>Q180+R180</f>
        <v>0</v>
      </c>
      <c r="W180" s="29">
        <f>100*((J180-MIN($J$2:$J$236))/(MAX($J$2:$J$236)-MIN($J$2:$J$236))+(H180-MIN($H$2:$H$236))/(MAX($H$2:$H$236)-MIN($H$2:$H$236))+(1-(K180-MIN($K$2:$K$236))/(MAX($K$2:$K$236)-MIN($K$2:$K$236))))/3</f>
        <v>32.1930567329853</v>
      </c>
      <c r="X180" s="4" t="n">
        <v>1</v>
      </c>
      <c r="Y180" s="4" t="n">
        <v>1</v>
      </c>
      <c r="Z180" s="4" t="n">
        <v>0</v>
      </c>
      <c r="AA180" s="4" t="inlineStr">
        <is>
          <t>No</t>
        </is>
      </c>
      <c r="AB180" s="4" t="str">
        <f>IF(H180&lt;=Complexity!$C$11,"Q1 (lowest)",IF(H180&lt;=Complexity!$C$12,"Q2",IF(H180&lt;=Complexity!$C$13,"Q3","Q4 (highest)")))</f>
        <v>Q2</v>
      </c>
      <c r="AC180" s="4" t="str">
        <f>IF(J180&lt;=Churn!$C$11,"Q1 (lowest)",IF(J180&lt;=Churn!$C$12,"Q2",IF(J180&lt;=Churn!$C$13,"Q3","Q4 (highest)")))</f>
        <v>Q2</v>
      </c>
      <c r="AD180" s="4" t="str">
        <f>IF(K180&lt;=40,"&lt;=40%",IF(K180&lt;=60,"40-60%",IF(K180&lt;=80,"60-80%","80%+")))</f>
        <v>60-80%</v>
      </c>
      <c r="AE180" s="4" t="str">
        <f>IF(M180&lt;=2,"1-2",IF(M180&lt;=4,"3-4",IF(M180&lt;=6,"5-6","7+")))</f>
        <v>1-2</v>
      </c>
    </row>
    <row r="181">
      <c r="A181" s="4" t="inlineStr">
        <is>
          <t>reporting_export</t>
        </is>
      </c>
      <c r="B181" s="4" t="inlineStr">
        <is>
          <t>Reporting</t>
        </is>
      </c>
      <c r="C181" s="4" t="inlineStr">
        <is>
          <t>Java</t>
        </is>
      </c>
      <c r="D181" s="4" t="inlineStr">
        <is>
          <t>v3.0</t>
        </is>
      </c>
      <c r="E181" s="40" t="n">
        <v>45839</v>
      </c>
      <c r="F181" s="4" t="n">
        <v>5</v>
      </c>
      <c r="G181" s="4" t="n">
        <v>1649</v>
      </c>
      <c r="H181" s="18" t="n">
        <v>17.44</v>
      </c>
      <c r="I181" s="18" t="n">
        <v>10.23</v>
      </c>
      <c r="J181" s="29" t="n">
        <v>399</v>
      </c>
      <c r="K181" s="29" t="n">
        <v>61.8</v>
      </c>
      <c r="L181" s="4" t="n">
        <v>19</v>
      </c>
      <c r="M181" s="4" t="n">
        <v>6</v>
      </c>
      <c r="N181" s="4" t="n">
        <v>566</v>
      </c>
      <c r="O181" s="4" t="n">
        <v>2</v>
      </c>
      <c r="P181" s="4" t="n">
        <v>0</v>
      </c>
      <c r="Q181" s="4" t="n">
        <v>1</v>
      </c>
      <c r="R181" s="4" t="n">
        <v>0</v>
      </c>
      <c r="S181" s="4">
        <f>SUM(O181:R181)</f>
        <v>3</v>
      </c>
      <c r="T181" s="18">
        <f>J181/L181</f>
        <v>21</v>
      </c>
      <c r="U181" s="18">
        <f>S181/G181*1000</f>
        <v>1.81928441479685</v>
      </c>
      <c r="V181" s="4">
        <f>Q181+R181</f>
        <v>1</v>
      </c>
      <c r="W181" s="29">
        <f>100*((J181-MIN($J$2:$J$236))/(MAX($J$2:$J$236)-MIN($J$2:$J$236))+(H181-MIN($H$2:$H$236))/(MAX($H$2:$H$236)-MIN($H$2:$H$236))+(1-(K181-MIN($K$2:$K$236))/(MAX($K$2:$K$236)-MIN($K$2:$K$236))))/3</f>
        <v>42.9139033542627</v>
      </c>
      <c r="X181" s="4" t="n">
        <v>1</v>
      </c>
      <c r="Y181" s="4" t="n">
        <v>1</v>
      </c>
      <c r="Z181" s="4" t="n">
        <v>1</v>
      </c>
      <c r="AA181" s="4" t="inlineStr">
        <is>
          <t>No</t>
        </is>
      </c>
      <c r="AB181" s="4" t="str">
        <f>IF(H181&lt;=Complexity!$C$11,"Q1 (lowest)",IF(H181&lt;=Complexity!$C$12,"Q2",IF(H181&lt;=Complexity!$C$13,"Q3","Q4 (highest)")))</f>
        <v>Q3</v>
      </c>
      <c r="AC181" s="4" t="str">
        <f>IF(J181&lt;=Churn!$C$11,"Q1 (lowest)",IF(J181&lt;=Churn!$C$12,"Q2",IF(J181&lt;=Churn!$C$13,"Q3","Q4 (highest)")))</f>
        <v>Q4 (highest)</v>
      </c>
      <c r="AD181" s="4" t="str">
        <f>IF(K181&lt;=40,"&lt;=40%",IF(K181&lt;=60,"40-60%",IF(K181&lt;=80,"60-80%","80%+")))</f>
        <v>60-80%</v>
      </c>
      <c r="AE181" s="4" t="str">
        <f>IF(M181&lt;=2,"1-2",IF(M181&lt;=4,"3-4",IF(M181&lt;=6,"5-6","7+")))</f>
        <v>5-6</v>
      </c>
    </row>
    <row r="182">
      <c r="A182" s="4" t="inlineStr">
        <is>
          <t>reporting_pdfgen</t>
        </is>
      </c>
      <c r="B182" s="4" t="inlineStr">
        <is>
          <t>Reporting</t>
        </is>
      </c>
      <c r="C182" s="4" t="inlineStr">
        <is>
          <t>Python</t>
        </is>
      </c>
      <c r="D182" s="4" t="inlineStr">
        <is>
          <t>v1.0</t>
        </is>
      </c>
      <c r="E182" s="40" t="n">
        <v>45306</v>
      </c>
      <c r="F182" s="4" t="n">
        <v>1</v>
      </c>
      <c r="G182" s="4" t="n">
        <v>1188</v>
      </c>
      <c r="H182" s="18" t="n">
        <v>4.34</v>
      </c>
      <c r="I182" s="18" t="n">
        <v>4.86</v>
      </c>
      <c r="J182" s="29" t="n">
        <v>300.35</v>
      </c>
      <c r="K182" s="29" t="n">
        <v>51</v>
      </c>
      <c r="L182" s="4" t="n">
        <v>1</v>
      </c>
      <c r="M182" s="4" t="n">
        <v>1</v>
      </c>
      <c r="N182" s="4" t="n">
        <v>60</v>
      </c>
      <c r="O182" s="4" t="n">
        <v>0</v>
      </c>
      <c r="P182" s="4" t="n">
        <v>0</v>
      </c>
      <c r="Q182" s="4" t="n">
        <v>0</v>
      </c>
      <c r="R182" s="4" t="n">
        <v>0</v>
      </c>
      <c r="S182" s="4">
        <f>SUM(O182:R182)</f>
        <v>0</v>
      </c>
      <c r="T182" s="18">
        <f>J182/L182</f>
        <v>300.35</v>
      </c>
      <c r="U182" s="18">
        <f>S182/G182*1000</f>
        <v>0</v>
      </c>
      <c r="V182" s="4">
        <f>Q182+R182</f>
        <v>0</v>
      </c>
      <c r="W182" s="29">
        <f>100*((J182-MIN($J$2:$J$236))/(MAX($J$2:$J$236)-MIN($J$2:$J$236))+(H182-MIN($H$2:$H$236))/(MAX($H$2:$H$236)-MIN($H$2:$H$236))+(1-(K182-MIN($K$2:$K$236))/(MAX($K$2:$K$236)-MIN($K$2:$K$236))))/3</f>
        <v>31.2271933994298</v>
      </c>
      <c r="X182" s="4" t="n">
        <v>0</v>
      </c>
      <c r="Y182" s="4" t="n">
        <v>0</v>
      </c>
      <c r="Z182" s="4" t="n">
        <v>0</v>
      </c>
      <c r="AA182" s="4" t="inlineStr">
        <is>
          <t>No</t>
        </is>
      </c>
      <c r="AB182" s="4" t="str">
        <f>IF(H182&lt;=Complexity!$C$11,"Q1 (lowest)",IF(H182&lt;=Complexity!$C$12,"Q2",IF(H182&lt;=Complexity!$C$13,"Q3","Q4 (highest)")))</f>
        <v>Q1 (lowest)</v>
      </c>
      <c r="AC182" s="4" t="str">
        <f>IF(J182&lt;=Churn!$C$11,"Q1 (lowest)",IF(J182&lt;=Churn!$C$12,"Q2",IF(J182&lt;=Churn!$C$13,"Q3","Q4 (highest)")))</f>
        <v>Q3</v>
      </c>
      <c r="AD182" s="4" t="str">
        <f>IF(K182&lt;=40,"&lt;=40%",IF(K182&lt;=60,"40-60%",IF(K182&lt;=80,"60-80%","80%+")))</f>
        <v>40-60%</v>
      </c>
      <c r="AE182" s="4" t="str">
        <f>IF(M182&lt;=2,"1-2",IF(M182&lt;=4,"3-4",IF(M182&lt;=6,"5-6","7+")))</f>
        <v>1-2</v>
      </c>
    </row>
    <row r="183">
      <c r="A183" s="4" t="inlineStr">
        <is>
          <t>reporting_pdfgen</t>
        </is>
      </c>
      <c r="B183" s="4" t="inlineStr">
        <is>
          <t>Reporting</t>
        </is>
      </c>
      <c r="C183" s="4" t="inlineStr">
        <is>
          <t>Python</t>
        </is>
      </c>
      <c r="D183" s="4" t="inlineStr">
        <is>
          <t>v1.1</t>
        </is>
      </c>
      <c r="E183" s="40" t="n">
        <v>45432</v>
      </c>
      <c r="F183" s="4" t="n">
        <v>2</v>
      </c>
      <c r="G183" s="4" t="n">
        <v>1188</v>
      </c>
      <c r="H183" s="18" t="n">
        <v>2</v>
      </c>
      <c r="I183" s="18" t="n">
        <v>9.449999999999999</v>
      </c>
      <c r="J183" s="29" t="n">
        <v>472</v>
      </c>
      <c r="K183" s="29" t="n">
        <v>55.3</v>
      </c>
      <c r="L183" s="4" t="n">
        <v>24</v>
      </c>
      <c r="M183" s="4" t="n">
        <v>6</v>
      </c>
      <c r="N183" s="4" t="n">
        <v>614</v>
      </c>
      <c r="O183" s="4" t="n">
        <v>0</v>
      </c>
      <c r="P183" s="4" t="n">
        <v>0</v>
      </c>
      <c r="Q183" s="4" t="n">
        <v>1</v>
      </c>
      <c r="R183" s="4" t="n">
        <v>0</v>
      </c>
      <c r="S183" s="4">
        <f>SUM(O183:R183)</f>
        <v>1</v>
      </c>
      <c r="T183" s="18">
        <f>J183/L183</f>
        <v>19.6666666666667</v>
      </c>
      <c r="U183" s="18">
        <f>S183/G183*1000</f>
        <v>0.841750841750842</v>
      </c>
      <c r="V183" s="4">
        <f>Q183+R183</f>
        <v>1</v>
      </c>
      <c r="W183" s="29">
        <f>100*((J183-MIN($J$2:$J$236))/(MAX($J$2:$J$236)-MIN($J$2:$J$236))+(H183-MIN($H$2:$H$236))/(MAX($H$2:$H$236)-MIN($H$2:$H$236))+(1-(K183-MIN($K$2:$K$236))/(MAX($K$2:$K$236)-MIN($K$2:$K$236))))/3</f>
        <v>31.4888117729804</v>
      </c>
      <c r="X183" s="4" t="n">
        <v>0</v>
      </c>
      <c r="Y183" s="4" t="n">
        <v>0</v>
      </c>
      <c r="Z183" s="4" t="n">
        <v>0</v>
      </c>
      <c r="AA183" s="4" t="inlineStr">
        <is>
          <t>No</t>
        </is>
      </c>
      <c r="AB183" s="4" t="str">
        <f>IF(H183&lt;=Complexity!$C$11,"Q1 (lowest)",IF(H183&lt;=Complexity!$C$12,"Q2",IF(H183&lt;=Complexity!$C$13,"Q3","Q4 (highest)")))</f>
        <v>Q1 (lowest)</v>
      </c>
      <c r="AC183" s="4" t="str">
        <f>IF(J183&lt;=Churn!$C$11,"Q1 (lowest)",IF(J183&lt;=Churn!$C$12,"Q2",IF(J183&lt;=Churn!$C$13,"Q3","Q4 (highest)")))</f>
        <v>Q4 (highest)</v>
      </c>
      <c r="AD183" s="4" t="str">
        <f>IF(K183&lt;=40,"&lt;=40%",IF(K183&lt;=60,"40-60%",IF(K183&lt;=80,"60-80%","80%+")))</f>
        <v>40-60%</v>
      </c>
      <c r="AE183" s="4" t="str">
        <f>IF(M183&lt;=2,"1-2",IF(M183&lt;=4,"3-4",IF(M183&lt;=6,"5-6","7+")))</f>
        <v>5-6</v>
      </c>
    </row>
    <row r="184">
      <c r="A184" s="4" t="inlineStr">
        <is>
          <t>reporting_pdfgen</t>
        </is>
      </c>
      <c r="B184" s="4" t="inlineStr">
        <is>
          <t>Reporting</t>
        </is>
      </c>
      <c r="C184" s="4" t="inlineStr">
        <is>
          <t>Python</t>
        </is>
      </c>
      <c r="D184" s="4" t="inlineStr">
        <is>
          <t>v2.0</t>
        </is>
      </c>
      <c r="E184" s="40" t="n">
        <v>45545</v>
      </c>
      <c r="F184" s="4" t="n">
        <v>3</v>
      </c>
      <c r="G184" s="4" t="n">
        <v>1188</v>
      </c>
      <c r="H184" s="18" t="n">
        <v>6.4</v>
      </c>
      <c r="I184" s="18" t="n">
        <v>5.38</v>
      </c>
      <c r="J184" s="29" t="n">
        <v>180.3</v>
      </c>
      <c r="K184" s="29" t="n">
        <v>49.7</v>
      </c>
      <c r="L184" s="4" t="n">
        <v>4</v>
      </c>
      <c r="M184" s="4" t="n">
        <v>2</v>
      </c>
      <c r="N184" s="4" t="n">
        <v>267</v>
      </c>
      <c r="O184" s="4" t="n">
        <v>0</v>
      </c>
      <c r="P184" s="4" t="n">
        <v>0</v>
      </c>
      <c r="Q184" s="4" t="n">
        <v>0</v>
      </c>
      <c r="R184" s="4" t="n">
        <v>0</v>
      </c>
      <c r="S184" s="4">
        <f>SUM(O184:R184)</f>
        <v>0</v>
      </c>
      <c r="T184" s="18">
        <f>J184/L184</f>
        <v>45.075</v>
      </c>
      <c r="U184" s="18">
        <f>S184/G184*1000</f>
        <v>0</v>
      </c>
      <c r="V184" s="4">
        <f>Q184+R184</f>
        <v>0</v>
      </c>
      <c r="W184" s="29">
        <f>100*((J184-MIN($J$2:$J$236))/(MAX($J$2:$J$236)-MIN($J$2:$J$236))+(H184-MIN($H$2:$H$236))/(MAX($H$2:$H$236)-MIN($H$2:$H$236))+(1-(K184-MIN($K$2:$K$236))/(MAX($K$2:$K$236)-MIN($K$2:$K$236))))/3</f>
        <v>30.7151687905898</v>
      </c>
      <c r="X184" s="4" t="n">
        <v>1</v>
      </c>
      <c r="Y184" s="4" t="n">
        <v>0</v>
      </c>
      <c r="Z184" s="4" t="n">
        <v>0</v>
      </c>
      <c r="AA184" s="4" t="inlineStr">
        <is>
          <t>No</t>
        </is>
      </c>
      <c r="AB184" s="4" t="str">
        <f>IF(H184&lt;=Complexity!$C$11,"Q1 (lowest)",IF(H184&lt;=Complexity!$C$12,"Q2",IF(H184&lt;=Complexity!$C$13,"Q3","Q4 (highest)")))</f>
        <v>Q1 (lowest)</v>
      </c>
      <c r="AC184" s="4" t="str">
        <f>IF(J184&lt;=Churn!$C$11,"Q1 (lowest)",IF(J184&lt;=Churn!$C$12,"Q2",IF(J184&lt;=Churn!$C$13,"Q3","Q4 (highest)")))</f>
        <v>Q2</v>
      </c>
      <c r="AD184" s="4" t="str">
        <f>IF(K184&lt;=40,"&lt;=40%",IF(K184&lt;=60,"40-60%",IF(K184&lt;=80,"60-80%","80%+")))</f>
        <v>40-60%</v>
      </c>
      <c r="AE184" s="4" t="str">
        <f>IF(M184&lt;=2,"1-2",IF(M184&lt;=4,"3-4",IF(M184&lt;=6,"5-6","7+")))</f>
        <v>1-2</v>
      </c>
    </row>
    <row r="185">
      <c r="A185" s="4" t="inlineStr">
        <is>
          <t>reporting_pdfgen</t>
        </is>
      </c>
      <c r="B185" s="4" t="inlineStr">
        <is>
          <t>Reporting</t>
        </is>
      </c>
      <c r="C185" s="4" t="inlineStr">
        <is>
          <t>Python</t>
        </is>
      </c>
      <c r="D185" s="4" t="inlineStr">
        <is>
          <t>v2.1</t>
        </is>
      </c>
      <c r="E185" s="40" t="n">
        <v>45706</v>
      </c>
      <c r="F185" s="4" t="n">
        <v>4</v>
      </c>
      <c r="G185" s="4" t="n">
        <v>1188</v>
      </c>
      <c r="H185" s="18" t="n">
        <v>2</v>
      </c>
      <c r="I185" s="18" t="n">
        <v>8.77</v>
      </c>
      <c r="J185" s="29" t="n">
        <v>262.4</v>
      </c>
      <c r="K185" s="29" t="n">
        <v>51</v>
      </c>
      <c r="L185" s="4" t="n">
        <v>7</v>
      </c>
      <c r="M185" s="4" t="n">
        <v>2</v>
      </c>
      <c r="N185" s="4" t="n">
        <v>376</v>
      </c>
      <c r="O185" s="4" t="n">
        <v>0</v>
      </c>
      <c r="P185" s="4" t="n">
        <v>0</v>
      </c>
      <c r="Q185" s="4" t="n">
        <v>0</v>
      </c>
      <c r="R185" s="4" t="n">
        <v>1</v>
      </c>
      <c r="S185" s="4">
        <f>SUM(O185:R185)</f>
        <v>1</v>
      </c>
      <c r="T185" s="18">
        <f>J185/L185</f>
        <v>37.4857142857143</v>
      </c>
      <c r="U185" s="18">
        <f>S185/G185*1000</f>
        <v>0.841750841750842</v>
      </c>
      <c r="V185" s="4">
        <f>Q185+R185</f>
        <v>1</v>
      </c>
      <c r="W185" s="29">
        <f>100*((J185-MIN($J$2:$J$236))/(MAX($J$2:$J$236)-MIN($J$2:$J$236))+(H185-MIN($H$2:$H$236))/(MAX($H$2:$H$236)-MIN($H$2:$H$236))+(1-(K185-MIN($K$2:$K$236))/(MAX($K$2:$K$236)-MIN($K$2:$K$236))))/3</f>
        <v>27.7025641983562</v>
      </c>
      <c r="X185" s="4" t="n">
        <v>0</v>
      </c>
      <c r="Y185" s="4" t="n">
        <v>0</v>
      </c>
      <c r="Z185" s="4" t="n">
        <v>0</v>
      </c>
      <c r="AA185" s="4" t="inlineStr">
        <is>
          <t>No</t>
        </is>
      </c>
      <c r="AB185" s="4" t="str">
        <f>IF(H185&lt;=Complexity!$C$11,"Q1 (lowest)",IF(H185&lt;=Complexity!$C$12,"Q2",IF(H185&lt;=Complexity!$C$13,"Q3","Q4 (highest)")))</f>
        <v>Q1 (lowest)</v>
      </c>
      <c r="AC185" s="4" t="str">
        <f>IF(J185&lt;=Churn!$C$11,"Q1 (lowest)",IF(J185&lt;=Churn!$C$12,"Q2",IF(J185&lt;=Churn!$C$13,"Q3","Q4 (highest)")))</f>
        <v>Q2</v>
      </c>
      <c r="AD185" s="4" t="str">
        <f>IF(K185&lt;=40,"&lt;=40%",IF(K185&lt;=60,"40-60%",IF(K185&lt;=80,"60-80%","80%+")))</f>
        <v>40-60%</v>
      </c>
      <c r="AE185" s="4" t="str">
        <f>IF(M185&lt;=2,"1-2",IF(M185&lt;=4,"3-4",IF(M185&lt;=6,"5-6","7+")))</f>
        <v>1-2</v>
      </c>
    </row>
    <row r="186">
      <c r="A186" s="4" t="inlineStr">
        <is>
          <t>reporting_pdfgen</t>
        </is>
      </c>
      <c r="B186" s="4" t="inlineStr">
        <is>
          <t>Reporting</t>
        </is>
      </c>
      <c r="C186" s="4" t="inlineStr">
        <is>
          <t>Python</t>
        </is>
      </c>
      <c r="D186" s="4" t="inlineStr">
        <is>
          <t>v3.0</t>
        </is>
      </c>
      <c r="E186" s="40" t="n">
        <v>45839</v>
      </c>
      <c r="F186" s="4" t="n">
        <v>5</v>
      </c>
      <c r="G186" s="4" t="n">
        <v>1188</v>
      </c>
      <c r="H186" s="18" t="n">
        <v>2</v>
      </c>
      <c r="I186" s="18" t="n">
        <v>7.074999999999999</v>
      </c>
      <c r="J186" s="29" t="n">
        <v>338.3</v>
      </c>
      <c r="K186" s="29" t="n">
        <v>51</v>
      </c>
      <c r="L186" s="4" t="n">
        <v>12</v>
      </c>
      <c r="M186" s="4" t="n">
        <v>3</v>
      </c>
      <c r="N186" s="4" t="n">
        <v>444</v>
      </c>
      <c r="O186" s="4" t="n">
        <v>0</v>
      </c>
      <c r="P186" s="4" t="n">
        <v>0</v>
      </c>
      <c r="Q186" s="4" t="n">
        <v>0</v>
      </c>
      <c r="R186" s="4" t="n">
        <v>0</v>
      </c>
      <c r="S186" s="4">
        <f>SUM(O186:R186)</f>
        <v>0</v>
      </c>
      <c r="T186" s="18">
        <f>J186/L186</f>
        <v>28.1916666666667</v>
      </c>
      <c r="U186" s="18">
        <f>S186/G186*1000</f>
        <v>0</v>
      </c>
      <c r="V186" s="4">
        <f>Q186+R186</f>
        <v>0</v>
      </c>
      <c r="W186" s="29">
        <f>100*((J186-MIN($J$2:$J$236))/(MAX($J$2:$J$236)-MIN($J$2:$J$236))+(H186-MIN($H$2:$H$236))/(MAX($H$2:$H$236)-MIN($H$2:$H$236))+(1-(K186-MIN($K$2:$K$236))/(MAX($K$2:$K$236)-MIN($K$2:$K$236))))/3</f>
        <v>29.7836697342614</v>
      </c>
      <c r="X186" s="4" t="n">
        <v>1</v>
      </c>
      <c r="Y186" s="4" t="n">
        <v>0</v>
      </c>
      <c r="Z186" s="4" t="n">
        <v>0</v>
      </c>
      <c r="AA186" s="4" t="inlineStr">
        <is>
          <t>No</t>
        </is>
      </c>
      <c r="AB186" s="4" t="str">
        <f>IF(H186&lt;=Complexity!$C$11,"Q1 (lowest)",IF(H186&lt;=Complexity!$C$12,"Q2",IF(H186&lt;=Complexity!$C$13,"Q3","Q4 (highest)")))</f>
        <v>Q1 (lowest)</v>
      </c>
      <c r="AC186" s="4" t="str">
        <f>IF(J186&lt;=Churn!$C$11,"Q1 (lowest)",IF(J186&lt;=Churn!$C$12,"Q2",IF(J186&lt;=Churn!$C$13,"Q3","Q4 (highest)")))</f>
        <v>Q3</v>
      </c>
      <c r="AD186" s="4" t="str">
        <f>IF(K186&lt;=40,"&lt;=40%",IF(K186&lt;=60,"40-60%",IF(K186&lt;=80,"60-80%","80%+")))</f>
        <v>40-60%</v>
      </c>
      <c r="AE186" s="4" t="str">
        <f>IF(M186&lt;=2,"1-2",IF(M186&lt;=4,"3-4",IF(M186&lt;=6,"5-6","7+")))</f>
        <v>3-4</v>
      </c>
    </row>
    <row r="187">
      <c r="A187" s="4" t="inlineStr">
        <is>
          <t>reporting_scheduler</t>
        </is>
      </c>
      <c r="B187" s="4" t="inlineStr">
        <is>
          <t>Reporting</t>
        </is>
      </c>
      <c r="C187" s="4" t="inlineStr">
        <is>
          <t>Java</t>
        </is>
      </c>
      <c r="D187" s="4" t="inlineStr">
        <is>
          <t>v1.0</t>
        </is>
      </c>
      <c r="E187" s="40" t="n">
        <v>45306</v>
      </c>
      <c r="F187" s="4" t="n">
        <v>1</v>
      </c>
      <c r="G187" s="4" t="n">
        <v>1361</v>
      </c>
      <c r="H187" s="18" t="n">
        <v>25.85</v>
      </c>
      <c r="I187" s="18" t="n">
        <v>14.4</v>
      </c>
      <c r="J187" s="29" t="n">
        <v>136.8</v>
      </c>
      <c r="K187" s="29" t="n">
        <v>45.7</v>
      </c>
      <c r="L187" s="4" t="n">
        <v>6</v>
      </c>
      <c r="M187" s="4" t="n">
        <v>3</v>
      </c>
      <c r="N187" s="4" t="n">
        <v>174</v>
      </c>
      <c r="O187" s="4" t="n">
        <v>1</v>
      </c>
      <c r="P187" s="4" t="n">
        <v>0</v>
      </c>
      <c r="Q187" s="4" t="n">
        <v>0</v>
      </c>
      <c r="R187" s="4" t="n">
        <v>0</v>
      </c>
      <c r="S187" s="4">
        <f>SUM(O187:R187)</f>
        <v>1</v>
      </c>
      <c r="T187" s="18">
        <f>J187/L187</f>
        <v>22.8</v>
      </c>
      <c r="U187" s="18">
        <f>S187/G187*1000</f>
        <v>0.734753857457752</v>
      </c>
      <c r="V187" s="4">
        <f>Q187+R187</f>
        <v>0</v>
      </c>
      <c r="W187" s="29">
        <f>100*((J187-MIN($J$2:$J$236))/(MAX($J$2:$J$236)-MIN($J$2:$J$236))+(H187-MIN($H$2:$H$236))/(MAX($H$2:$H$236)-MIN($H$2:$H$236))+(1-(K187-MIN($K$2:$K$236))/(MAX($K$2:$K$236)-MIN($K$2:$K$236))))/3</f>
        <v>51.9939841159237</v>
      </c>
      <c r="X187" s="4" t="n">
        <v>0</v>
      </c>
      <c r="Y187" s="4" t="n">
        <v>1</v>
      </c>
      <c r="Z187" s="4" t="n">
        <v>0</v>
      </c>
      <c r="AA187" s="4" t="inlineStr">
        <is>
          <t>No</t>
        </is>
      </c>
      <c r="AB187" s="4" t="str">
        <f>IF(H187&lt;=Complexity!$C$11,"Q1 (lowest)",IF(H187&lt;=Complexity!$C$12,"Q2",IF(H187&lt;=Complexity!$C$13,"Q3","Q4 (highest)")))</f>
        <v>Q4 (highest)</v>
      </c>
      <c r="AC187" s="4" t="str">
        <f>IF(J187&lt;=Churn!$C$11,"Q1 (lowest)",IF(J187&lt;=Churn!$C$12,"Q2",IF(J187&lt;=Churn!$C$13,"Q3","Q4 (highest)")))</f>
        <v>Q1 (lowest)</v>
      </c>
      <c r="AD187" s="4" t="str">
        <f>IF(K187&lt;=40,"&lt;=40%",IF(K187&lt;=60,"40-60%",IF(K187&lt;=80,"60-80%","80%+")))</f>
        <v>40-60%</v>
      </c>
      <c r="AE187" s="4" t="str">
        <f>IF(M187&lt;=2,"1-2",IF(M187&lt;=4,"3-4",IF(M187&lt;=6,"5-6","7+")))</f>
        <v>3-4</v>
      </c>
    </row>
    <row r="188">
      <c r="A188" s="4" t="inlineStr">
        <is>
          <t>reporting_scheduler</t>
        </is>
      </c>
      <c r="B188" s="4" t="inlineStr">
        <is>
          <t>Reporting</t>
        </is>
      </c>
      <c r="C188" s="4" t="inlineStr">
        <is>
          <t>Java</t>
        </is>
      </c>
      <c r="D188" s="4" t="inlineStr">
        <is>
          <t>v1.1</t>
        </is>
      </c>
      <c r="E188" s="40" t="n">
        <v>45432</v>
      </c>
      <c r="F188" s="4" t="n">
        <v>2</v>
      </c>
      <c r="G188" s="4" t="n">
        <v>1361</v>
      </c>
      <c r="H188" s="18" t="n">
        <v>26.69</v>
      </c>
      <c r="I188" s="18" t="n">
        <v>16.7</v>
      </c>
      <c r="J188" s="29" t="n">
        <v>264.55</v>
      </c>
      <c r="K188" s="29" t="n">
        <v>36.3</v>
      </c>
      <c r="L188" s="4" t="n">
        <v>21</v>
      </c>
      <c r="M188" s="4" t="n">
        <v>6</v>
      </c>
      <c r="N188" s="4" t="n">
        <v>1445</v>
      </c>
      <c r="O188" s="4" t="n">
        <v>1</v>
      </c>
      <c r="P188" s="4" t="n">
        <v>1</v>
      </c>
      <c r="Q188" s="4" t="n">
        <v>2</v>
      </c>
      <c r="R188" s="4" t="n">
        <v>0</v>
      </c>
      <c r="S188" s="4">
        <f>SUM(O188:R188)</f>
        <v>4</v>
      </c>
      <c r="T188" s="18">
        <f>J188/L188</f>
        <v>12.597619047619</v>
      </c>
      <c r="U188" s="18">
        <f>S188/G188*1000</f>
        <v>2.93901542983101</v>
      </c>
      <c r="V188" s="4">
        <f>Q188+R188</f>
        <v>2</v>
      </c>
      <c r="W188" s="29">
        <f>100*((J188-MIN($J$2:$J$236))/(MAX($J$2:$J$236)-MIN($J$2:$J$236))+(H188-MIN($H$2:$H$236))/(MAX($H$2:$H$236)-MIN($H$2:$H$236))+(1-(K188-MIN($K$2:$K$236))/(MAX($K$2:$K$236)-MIN($K$2:$K$236))))/3</f>
        <v>60.6748526033158</v>
      </c>
      <c r="X188" s="4" t="n">
        <v>1</v>
      </c>
      <c r="Y188" s="4" t="n">
        <v>1</v>
      </c>
      <c r="Z188" s="4" t="n">
        <v>1</v>
      </c>
      <c r="AA188" s="4" t="inlineStr">
        <is>
          <t>No</t>
        </is>
      </c>
      <c r="AB188" s="4" t="str">
        <f>IF(H188&lt;=Complexity!$C$11,"Q1 (lowest)",IF(H188&lt;=Complexity!$C$12,"Q2",IF(H188&lt;=Complexity!$C$13,"Q3","Q4 (highest)")))</f>
        <v>Q4 (highest)</v>
      </c>
      <c r="AC188" s="4" t="str">
        <f>IF(J188&lt;=Churn!$C$11,"Q1 (lowest)",IF(J188&lt;=Churn!$C$12,"Q2",IF(J188&lt;=Churn!$C$13,"Q3","Q4 (highest)")))</f>
        <v>Q2</v>
      </c>
      <c r="AD188" s="4" t="str">
        <f>IF(K188&lt;=40,"&lt;=40%",IF(K188&lt;=60,"40-60%",IF(K188&lt;=80,"60-80%","80%+")))</f>
        <v>&lt;=40%</v>
      </c>
      <c r="AE188" s="4" t="str">
        <f>IF(M188&lt;=2,"1-2",IF(M188&lt;=4,"3-4",IF(M188&lt;=6,"5-6","7+")))</f>
        <v>5-6</v>
      </c>
    </row>
    <row r="189">
      <c r="A189" s="4" t="inlineStr">
        <is>
          <t>reporting_scheduler</t>
        </is>
      </c>
      <c r="B189" s="4" t="inlineStr">
        <is>
          <t>Reporting</t>
        </is>
      </c>
      <c r="C189" s="4" t="inlineStr">
        <is>
          <t>Java</t>
        </is>
      </c>
      <c r="D189" s="4" t="inlineStr">
        <is>
          <t>v2.0</t>
        </is>
      </c>
      <c r="E189" s="40" t="n">
        <v>45545</v>
      </c>
      <c r="F189" s="4" t="n">
        <v>3</v>
      </c>
      <c r="G189" s="4" t="n">
        <v>1361</v>
      </c>
      <c r="H189" s="18" t="n">
        <v>25.27</v>
      </c>
      <c r="I189" s="18" t="n">
        <v>13.37</v>
      </c>
      <c r="J189" s="29" t="n">
        <v>266.6</v>
      </c>
      <c r="K189" s="29" t="n">
        <v>36.4</v>
      </c>
      <c r="L189" s="4" t="n">
        <v>11</v>
      </c>
      <c r="M189" s="4" t="n">
        <v>4</v>
      </c>
      <c r="N189" s="4" t="n">
        <v>365</v>
      </c>
      <c r="O189" s="4" t="n">
        <v>0</v>
      </c>
      <c r="P189" s="4" t="n">
        <v>1</v>
      </c>
      <c r="Q189" s="4" t="n">
        <v>0</v>
      </c>
      <c r="R189" s="4" t="n">
        <v>0</v>
      </c>
      <c r="S189" s="4">
        <f>SUM(O189:R189)</f>
        <v>1</v>
      </c>
      <c r="T189" s="18">
        <f>J189/L189</f>
        <v>24.2363636363636</v>
      </c>
      <c r="U189" s="18">
        <f>S189/G189*1000</f>
        <v>0.734753857457752</v>
      </c>
      <c r="V189" s="4">
        <f>Q189+R189</f>
        <v>0</v>
      </c>
      <c r="W189" s="29">
        <f>100*((J189-MIN($J$2:$J$236))/(MAX($J$2:$J$236)-MIN($J$2:$J$236))+(H189-MIN($H$2:$H$236))/(MAX($H$2:$H$236)-MIN($H$2:$H$236))+(1-(K189-MIN($K$2:$K$236))/(MAX($K$2:$K$236)-MIN($K$2:$K$236))))/3</f>
        <v>59.1780310130371</v>
      </c>
      <c r="X189" s="4" t="n">
        <v>4</v>
      </c>
      <c r="Y189" s="4" t="n">
        <v>1</v>
      </c>
      <c r="Z189" s="4" t="n">
        <v>0</v>
      </c>
      <c r="AA189" s="4" t="inlineStr">
        <is>
          <t>No</t>
        </is>
      </c>
      <c r="AB189" s="4" t="str">
        <f>IF(H189&lt;=Complexity!$C$11,"Q1 (lowest)",IF(H189&lt;=Complexity!$C$12,"Q2",IF(H189&lt;=Complexity!$C$13,"Q3","Q4 (highest)")))</f>
        <v>Q4 (highest)</v>
      </c>
      <c r="AC189" s="4" t="str">
        <f>IF(J189&lt;=Churn!$C$11,"Q1 (lowest)",IF(J189&lt;=Churn!$C$12,"Q2",IF(J189&lt;=Churn!$C$13,"Q3","Q4 (highest)")))</f>
        <v>Q2</v>
      </c>
      <c r="AD189" s="4" t="str">
        <f>IF(K189&lt;=40,"&lt;=40%",IF(K189&lt;=60,"40-60%",IF(K189&lt;=80,"60-80%","80%+")))</f>
        <v>&lt;=40%</v>
      </c>
      <c r="AE189" s="4" t="str">
        <f>IF(M189&lt;=2,"1-2",IF(M189&lt;=4,"3-4",IF(M189&lt;=6,"5-6","7+")))</f>
        <v>3-4</v>
      </c>
    </row>
    <row r="190">
      <c r="A190" s="4" t="inlineStr">
        <is>
          <t>reporting_scheduler</t>
        </is>
      </c>
      <c r="B190" s="4" t="inlineStr">
        <is>
          <t>Reporting</t>
        </is>
      </c>
      <c r="C190" s="4" t="inlineStr">
        <is>
          <t>Java</t>
        </is>
      </c>
      <c r="D190" s="4" t="inlineStr">
        <is>
          <t>v2.1</t>
        </is>
      </c>
      <c r="E190" s="40" t="n">
        <v>45706</v>
      </c>
      <c r="F190" s="4" t="n">
        <v>4</v>
      </c>
      <c r="G190" s="4" t="n">
        <v>1361</v>
      </c>
      <c r="H190" s="18" t="n">
        <v>27.53</v>
      </c>
      <c r="I190" s="18" t="n">
        <v>16.57</v>
      </c>
      <c r="J190" s="29" t="n">
        <v>382.1</v>
      </c>
      <c r="K190" s="29" t="n">
        <v>45.7</v>
      </c>
      <c r="L190" s="4" t="n">
        <v>10</v>
      </c>
      <c r="M190" s="4" t="n">
        <v>4</v>
      </c>
      <c r="N190" s="4" t="n">
        <v>436</v>
      </c>
      <c r="O190" s="4" t="n">
        <v>1</v>
      </c>
      <c r="P190" s="4" t="n">
        <v>1</v>
      </c>
      <c r="Q190" s="4" t="n">
        <v>1</v>
      </c>
      <c r="R190" s="4" t="n">
        <v>0</v>
      </c>
      <c r="S190" s="4">
        <f>SUM(O190:R190)</f>
        <v>3</v>
      </c>
      <c r="T190" s="18">
        <f>J190/L190</f>
        <v>38.21</v>
      </c>
      <c r="U190" s="18">
        <f>S190/G190*1000</f>
        <v>2.20426157237326</v>
      </c>
      <c r="V190" s="4">
        <f>Q190+R190</f>
        <v>1</v>
      </c>
      <c r="W190" s="29">
        <f>100*((J190-MIN($J$2:$J$236))/(MAX($J$2:$J$236)-MIN($J$2:$J$236))+(H190-MIN($H$2:$H$236))/(MAX($H$2:$H$236)-MIN($H$2:$H$236))+(1-(K190-MIN($K$2:$K$236))/(MAX($K$2:$K$236)-MIN($K$2:$K$236))))/3</f>
        <v>60.503315410817</v>
      </c>
      <c r="X190" s="4" t="n">
        <v>1</v>
      </c>
      <c r="Y190" s="4" t="n">
        <v>1</v>
      </c>
      <c r="Z190" s="4" t="n">
        <v>1</v>
      </c>
      <c r="AA190" s="4" t="inlineStr">
        <is>
          <t>No</t>
        </is>
      </c>
      <c r="AB190" s="4" t="str">
        <f>IF(H190&lt;=Complexity!$C$11,"Q1 (lowest)",IF(H190&lt;=Complexity!$C$12,"Q2",IF(H190&lt;=Complexity!$C$13,"Q3","Q4 (highest)")))</f>
        <v>Q4 (highest)</v>
      </c>
      <c r="AC190" s="4" t="str">
        <f>IF(J190&lt;=Churn!$C$11,"Q1 (lowest)",IF(J190&lt;=Churn!$C$12,"Q2",IF(J190&lt;=Churn!$C$13,"Q3","Q4 (highest)")))</f>
        <v>Q3</v>
      </c>
      <c r="AD190" s="4" t="str">
        <f>IF(K190&lt;=40,"&lt;=40%",IF(K190&lt;=60,"40-60%",IF(K190&lt;=80,"60-80%","80%+")))</f>
        <v>40-60%</v>
      </c>
      <c r="AE190" s="4" t="str">
        <f>IF(M190&lt;=2,"1-2",IF(M190&lt;=4,"3-4",IF(M190&lt;=6,"5-6","7+")))</f>
        <v>3-4</v>
      </c>
    </row>
    <row r="191">
      <c r="A191" s="4" t="inlineStr">
        <is>
          <t>reporting_scheduler</t>
        </is>
      </c>
      <c r="B191" s="4" t="inlineStr">
        <is>
          <t>Reporting</t>
        </is>
      </c>
      <c r="C191" s="4" t="inlineStr">
        <is>
          <t>Java</t>
        </is>
      </c>
      <c r="D191" s="4" t="inlineStr">
        <is>
          <t>v3.0</t>
        </is>
      </c>
      <c r="E191" s="40" t="n">
        <v>45839</v>
      </c>
      <c r="F191" s="4" t="n">
        <v>5</v>
      </c>
      <c r="G191" s="4" t="n">
        <v>1361</v>
      </c>
      <c r="H191" s="18" t="n">
        <v>33.4</v>
      </c>
      <c r="I191" s="18" t="n">
        <v>15.485</v>
      </c>
      <c r="J191" s="29" t="n">
        <v>262.5</v>
      </c>
      <c r="K191" s="29" t="n">
        <v>41.05</v>
      </c>
      <c r="L191" s="4" t="n">
        <v>7</v>
      </c>
      <c r="M191" s="4" t="n">
        <v>3</v>
      </c>
      <c r="N191" s="4" t="n">
        <v>404</v>
      </c>
      <c r="O191" s="4" t="n">
        <v>1</v>
      </c>
      <c r="P191" s="4" t="n">
        <v>2</v>
      </c>
      <c r="Q191" s="4" t="n">
        <v>1</v>
      </c>
      <c r="R191" s="4" t="n">
        <v>0</v>
      </c>
      <c r="S191" s="4">
        <f>SUM(O191:R191)</f>
        <v>4</v>
      </c>
      <c r="T191" s="18">
        <f>J191/L191</f>
        <v>37.5</v>
      </c>
      <c r="U191" s="18">
        <f>S191/G191*1000</f>
        <v>2.93901542983101</v>
      </c>
      <c r="V191" s="4">
        <f>Q191+R191</f>
        <v>1</v>
      </c>
      <c r="W191" s="29">
        <f>100*((J191-MIN($J$2:$J$236))/(MAX($J$2:$J$236)-MIN($J$2:$J$236))+(H191-MIN($H$2:$H$236))/(MAX($H$2:$H$236)-MIN($H$2:$H$236))+(1-(K191-MIN($K$2:$K$236))/(MAX($K$2:$K$236)-MIN($K$2:$K$236))))/3</f>
        <v>65.5758031389068</v>
      </c>
      <c r="X191" s="4" t="n">
        <v>3</v>
      </c>
      <c r="Y191" s="4" t="n">
        <v>1</v>
      </c>
      <c r="Z191" s="4" t="n">
        <v>1</v>
      </c>
      <c r="AA191" s="4" t="inlineStr">
        <is>
          <t>No</t>
        </is>
      </c>
      <c r="AB191" s="4" t="str">
        <f>IF(H191&lt;=Complexity!$C$11,"Q1 (lowest)",IF(H191&lt;=Complexity!$C$12,"Q2",IF(H191&lt;=Complexity!$C$13,"Q3","Q4 (highest)")))</f>
        <v>Q4 (highest)</v>
      </c>
      <c r="AC191" s="4" t="str">
        <f>IF(J191&lt;=Churn!$C$11,"Q1 (lowest)",IF(J191&lt;=Churn!$C$12,"Q2",IF(J191&lt;=Churn!$C$13,"Q3","Q4 (highest)")))</f>
        <v>Q2</v>
      </c>
      <c r="AD191" s="4" t="str">
        <f>IF(K191&lt;=40,"&lt;=40%",IF(K191&lt;=60,"40-60%",IF(K191&lt;=80,"60-80%","80%+")))</f>
        <v>40-60%</v>
      </c>
      <c r="AE191" s="4" t="str">
        <f>IF(M191&lt;=2,"1-2",IF(M191&lt;=4,"3-4",IF(M191&lt;=6,"5-6","7+")))</f>
        <v>3-4</v>
      </c>
    </row>
    <row r="192">
      <c r="A192" s="4" t="inlineStr">
        <is>
          <t>reporting_templates</t>
        </is>
      </c>
      <c r="B192" s="4" t="inlineStr">
        <is>
          <t>Reporting</t>
        </is>
      </c>
      <c r="C192" s="4" t="inlineStr">
        <is>
          <t>Java</t>
        </is>
      </c>
      <c r="D192" s="4" t="inlineStr">
        <is>
          <t>v1.0</t>
        </is>
      </c>
      <c r="E192" s="40" t="n">
        <v>45306</v>
      </c>
      <c r="F192" s="4" t="n">
        <v>1</v>
      </c>
      <c r="G192" s="4" t="n">
        <v>2203</v>
      </c>
      <c r="H192" s="18" t="n">
        <v>3.86</v>
      </c>
      <c r="I192" s="18" t="n">
        <v>2.01</v>
      </c>
      <c r="J192" s="29" t="n">
        <v>213.5</v>
      </c>
      <c r="K192" s="29" t="n">
        <v>72.8</v>
      </c>
      <c r="L192" s="4" t="n">
        <v>10</v>
      </c>
      <c r="M192" s="4" t="n">
        <v>3</v>
      </c>
      <c r="N192" s="4" t="n">
        <v>290</v>
      </c>
      <c r="O192" s="4" t="n">
        <v>0</v>
      </c>
      <c r="P192" s="4" t="n">
        <v>0</v>
      </c>
      <c r="Q192" s="4" t="n">
        <v>1</v>
      </c>
      <c r="R192" s="4" t="n">
        <v>0</v>
      </c>
      <c r="S192" s="4">
        <f>SUM(O192:R192)</f>
        <v>1</v>
      </c>
      <c r="T192" s="18">
        <f>J192/L192</f>
        <v>21.35</v>
      </c>
      <c r="U192" s="18">
        <f>S192/G192*1000</f>
        <v>0.453926463912846</v>
      </c>
      <c r="V192" s="4">
        <f>Q192+R192</f>
        <v>1</v>
      </c>
      <c r="W192" s="29">
        <f>100*((J192-MIN($J$2:$J$236))/(MAX($J$2:$J$236)-MIN($J$2:$J$236))+(H192-MIN($H$2:$H$236))/(MAX($H$2:$H$236)-MIN($H$2:$H$236))+(1-(K192-MIN($K$2:$K$236))/(MAX($K$2:$K$236)-MIN($K$2:$K$236))))/3</f>
        <v>18.3955747034672</v>
      </c>
      <c r="X192" s="4" t="n">
        <v>0</v>
      </c>
      <c r="Y192" s="4" t="n">
        <v>0</v>
      </c>
      <c r="Z192" s="4" t="n">
        <v>0</v>
      </c>
      <c r="AA192" s="4" t="inlineStr">
        <is>
          <t>No</t>
        </is>
      </c>
      <c r="AB192" s="4" t="str">
        <f>IF(H192&lt;=Complexity!$C$11,"Q1 (lowest)",IF(H192&lt;=Complexity!$C$12,"Q2",IF(H192&lt;=Complexity!$C$13,"Q3","Q4 (highest)")))</f>
        <v>Q1 (lowest)</v>
      </c>
      <c r="AC192" s="4" t="str">
        <f>IF(J192&lt;=Churn!$C$11,"Q1 (lowest)",IF(J192&lt;=Churn!$C$12,"Q2",IF(J192&lt;=Churn!$C$13,"Q3","Q4 (highest)")))</f>
        <v>Q2</v>
      </c>
      <c r="AD192" s="4" t="str">
        <f>IF(K192&lt;=40,"&lt;=40%",IF(K192&lt;=60,"40-60%",IF(K192&lt;=80,"60-80%","80%+")))</f>
        <v>60-80%</v>
      </c>
      <c r="AE192" s="4" t="str">
        <f>IF(M192&lt;=2,"1-2",IF(M192&lt;=4,"3-4",IF(M192&lt;=6,"5-6","7+")))</f>
        <v>3-4</v>
      </c>
    </row>
    <row r="193">
      <c r="A193" s="4" t="inlineStr">
        <is>
          <t>reporting_templates</t>
        </is>
      </c>
      <c r="B193" s="4" t="inlineStr">
        <is>
          <t>Reporting</t>
        </is>
      </c>
      <c r="C193" s="4" t="inlineStr">
        <is>
          <t>Java</t>
        </is>
      </c>
      <c r="D193" s="4" t="inlineStr">
        <is>
          <t>v1.1</t>
        </is>
      </c>
      <c r="E193" s="40" t="n">
        <v>45432</v>
      </c>
      <c r="F193" s="4" t="n">
        <v>2</v>
      </c>
      <c r="G193" s="4" t="n">
        <v>2203</v>
      </c>
      <c r="H193" s="18" t="n">
        <v>16.31</v>
      </c>
      <c r="I193" s="18" t="n">
        <v>8.289999999999999</v>
      </c>
      <c r="J193" s="29" t="n">
        <v>487</v>
      </c>
      <c r="K193" s="29" t="n">
        <v>76</v>
      </c>
      <c r="L193" s="4" t="n">
        <v>13</v>
      </c>
      <c r="M193" s="4" t="n">
        <v>5</v>
      </c>
      <c r="N193" s="4" t="n">
        <v>573</v>
      </c>
      <c r="O193" s="4" t="n">
        <v>0</v>
      </c>
      <c r="P193" s="4" t="n">
        <v>2</v>
      </c>
      <c r="Q193" s="4" t="n">
        <v>0</v>
      </c>
      <c r="R193" s="4" t="n">
        <v>0</v>
      </c>
      <c r="S193" s="4">
        <f>SUM(O193:R193)</f>
        <v>2</v>
      </c>
      <c r="T193" s="18">
        <f>J193/L193</f>
        <v>37.4615384615385</v>
      </c>
      <c r="U193" s="18">
        <f>S193/G193*1000</f>
        <v>0.907852927825692</v>
      </c>
      <c r="V193" s="4">
        <f>Q193+R193</f>
        <v>0</v>
      </c>
      <c r="W193" s="29">
        <f>100*((J193-MIN($J$2:$J$236))/(MAX($J$2:$J$236)-MIN($J$2:$J$236))+(H193-MIN($H$2:$H$236))/(MAX($H$2:$H$236)-MIN($H$2:$H$236))+(1-(K193-MIN($K$2:$K$236))/(MAX($K$2:$K$236)-MIN($K$2:$K$236))))/3</f>
        <v>37.6520557675567</v>
      </c>
      <c r="X193" s="4" t="n">
        <v>1</v>
      </c>
      <c r="Y193" s="4" t="n">
        <v>0</v>
      </c>
      <c r="Z193" s="4" t="n">
        <v>0</v>
      </c>
      <c r="AA193" s="4" t="inlineStr">
        <is>
          <t>No</t>
        </is>
      </c>
      <c r="AB193" s="4" t="str">
        <f>IF(H193&lt;=Complexity!$C$11,"Q1 (lowest)",IF(H193&lt;=Complexity!$C$12,"Q2",IF(H193&lt;=Complexity!$C$13,"Q3","Q4 (highest)")))</f>
        <v>Q3</v>
      </c>
      <c r="AC193" s="4" t="str">
        <f>IF(J193&lt;=Churn!$C$11,"Q1 (lowest)",IF(J193&lt;=Churn!$C$12,"Q2",IF(J193&lt;=Churn!$C$13,"Q3","Q4 (highest)")))</f>
        <v>Q4 (highest)</v>
      </c>
      <c r="AD193" s="4" t="str">
        <f>IF(K193&lt;=40,"&lt;=40%",IF(K193&lt;=60,"40-60%",IF(K193&lt;=80,"60-80%","80%+")))</f>
        <v>60-80%</v>
      </c>
      <c r="AE193" s="4" t="str">
        <f>IF(M193&lt;=2,"1-2",IF(M193&lt;=4,"3-4",IF(M193&lt;=6,"5-6","7+")))</f>
        <v>5-6</v>
      </c>
    </row>
    <row r="194">
      <c r="A194" s="4" t="inlineStr">
        <is>
          <t>reporting_templates</t>
        </is>
      </c>
      <c r="B194" s="4" t="inlineStr">
        <is>
          <t>Reporting</t>
        </is>
      </c>
      <c r="C194" s="4" t="inlineStr">
        <is>
          <t>Java</t>
        </is>
      </c>
      <c r="D194" s="4" t="inlineStr">
        <is>
          <t>v2.0</t>
        </is>
      </c>
      <c r="E194" s="40" t="n">
        <v>45545</v>
      </c>
      <c r="F194" s="4" t="n">
        <v>3</v>
      </c>
      <c r="G194" s="4" t="n">
        <v>2203</v>
      </c>
      <c r="H194" s="18" t="n">
        <v>13.83</v>
      </c>
      <c r="I194" s="18" t="n">
        <v>9.960000000000001</v>
      </c>
      <c r="J194" s="29" t="n">
        <v>272.6</v>
      </c>
      <c r="K194" s="29" t="n">
        <v>69.59999999999999</v>
      </c>
      <c r="L194" s="4" t="n">
        <v>12</v>
      </c>
      <c r="M194" s="4" t="n">
        <v>4</v>
      </c>
      <c r="N194" s="4" t="n">
        <v>394</v>
      </c>
      <c r="O194" s="4" t="n">
        <v>0</v>
      </c>
      <c r="P194" s="4" t="n">
        <v>0</v>
      </c>
      <c r="Q194" s="4" t="n">
        <v>0</v>
      </c>
      <c r="R194" s="4" t="n">
        <v>0</v>
      </c>
      <c r="S194" s="4">
        <f>SUM(O194:R194)</f>
        <v>0</v>
      </c>
      <c r="T194" s="18">
        <f>J194/L194</f>
        <v>22.7166666666667</v>
      </c>
      <c r="U194" s="18">
        <f>S194/G194*1000</f>
        <v>0</v>
      </c>
      <c r="V194" s="4">
        <f>Q194+R194</f>
        <v>0</v>
      </c>
      <c r="W194" s="29">
        <f>100*((J194-MIN($J$2:$J$236))/(MAX($J$2:$J$236)-MIN($J$2:$J$236))+(H194-MIN($H$2:$H$236))/(MAX($H$2:$H$236)-MIN($H$2:$H$236))+(1-(K194-MIN($K$2:$K$236))/(MAX($K$2:$K$236)-MIN($K$2:$K$236))))/3</f>
        <v>32.0590927242452</v>
      </c>
      <c r="X194" s="4" t="n">
        <v>2</v>
      </c>
      <c r="Y194" s="4" t="n">
        <v>0</v>
      </c>
      <c r="Z194" s="4" t="n">
        <v>0</v>
      </c>
      <c r="AA194" s="4" t="inlineStr">
        <is>
          <t>No</t>
        </is>
      </c>
      <c r="AB194" s="4" t="str">
        <f>IF(H194&lt;=Complexity!$C$11,"Q1 (lowest)",IF(H194&lt;=Complexity!$C$12,"Q2",IF(H194&lt;=Complexity!$C$13,"Q3","Q4 (highest)")))</f>
        <v>Q2</v>
      </c>
      <c r="AC194" s="4" t="str">
        <f>IF(J194&lt;=Churn!$C$11,"Q1 (lowest)",IF(J194&lt;=Churn!$C$12,"Q2",IF(J194&lt;=Churn!$C$13,"Q3","Q4 (highest)")))</f>
        <v>Q2</v>
      </c>
      <c r="AD194" s="4" t="str">
        <f>IF(K194&lt;=40,"&lt;=40%",IF(K194&lt;=60,"40-60%",IF(K194&lt;=80,"60-80%","80%+")))</f>
        <v>60-80%</v>
      </c>
      <c r="AE194" s="4" t="str">
        <f>IF(M194&lt;=2,"1-2",IF(M194&lt;=4,"3-4",IF(M194&lt;=6,"5-6","7+")))</f>
        <v>3-4</v>
      </c>
    </row>
    <row r="195">
      <c r="A195" s="4" t="inlineStr">
        <is>
          <t>reporting_templates</t>
        </is>
      </c>
      <c r="B195" s="4" t="inlineStr">
        <is>
          <t>Reporting</t>
        </is>
      </c>
      <c r="C195" s="4" t="inlineStr">
        <is>
          <t>Java</t>
        </is>
      </c>
      <c r="D195" s="4" t="inlineStr">
        <is>
          <t>v2.1</t>
        </is>
      </c>
      <c r="E195" s="40" t="n">
        <v>45706</v>
      </c>
      <c r="F195" s="4" t="n">
        <v>4</v>
      </c>
      <c r="G195" s="4" t="n">
        <v>2203</v>
      </c>
      <c r="H195" s="18" t="n">
        <v>9.470000000000001</v>
      </c>
      <c r="I195" s="18" t="n">
        <v>9.800000000000001</v>
      </c>
      <c r="J195" s="29" t="n">
        <v>433.2</v>
      </c>
      <c r="K195" s="29" t="n">
        <v>73</v>
      </c>
      <c r="L195" s="4" t="n">
        <v>11</v>
      </c>
      <c r="M195" s="4" t="n">
        <v>4</v>
      </c>
      <c r="N195" s="4" t="n">
        <v>637</v>
      </c>
      <c r="O195" s="4" t="n">
        <v>1</v>
      </c>
      <c r="P195" s="4" t="n">
        <v>0</v>
      </c>
      <c r="Q195" s="4" t="n">
        <v>0</v>
      </c>
      <c r="R195" s="4" t="n">
        <v>0</v>
      </c>
      <c r="S195" s="4">
        <f>SUM(O195:R195)</f>
        <v>1</v>
      </c>
      <c r="T195" s="18">
        <f>J195/L195</f>
        <v>39.3818181818182</v>
      </c>
      <c r="U195" s="18">
        <f>S195/G195*1000</f>
        <v>0.453926463912846</v>
      </c>
      <c r="V195" s="4">
        <f>Q195+R195</f>
        <v>0</v>
      </c>
      <c r="W195" s="29">
        <f>100*((J195-MIN($J$2:$J$236))/(MAX($J$2:$J$236)-MIN($J$2:$J$236))+(H195-MIN($H$2:$H$236))/(MAX($H$2:$H$236)-MIN($H$2:$H$236))+(1-(K195-MIN($K$2:$K$236))/(MAX($K$2:$K$236)-MIN($K$2:$K$236))))/3</f>
        <v>30.2837536913652</v>
      </c>
      <c r="X195" s="4" t="n">
        <v>0</v>
      </c>
      <c r="Y195" s="4" t="n">
        <v>0</v>
      </c>
      <c r="Z195" s="4" t="n">
        <v>0</v>
      </c>
      <c r="AA195" s="4" t="inlineStr">
        <is>
          <t>No</t>
        </is>
      </c>
      <c r="AB195" s="4" t="str">
        <f>IF(H195&lt;=Complexity!$C$11,"Q1 (lowest)",IF(H195&lt;=Complexity!$C$12,"Q2",IF(H195&lt;=Complexity!$C$13,"Q3","Q4 (highest)")))</f>
        <v>Q1 (lowest)</v>
      </c>
      <c r="AC195" s="4" t="str">
        <f>IF(J195&lt;=Churn!$C$11,"Q1 (lowest)",IF(J195&lt;=Churn!$C$12,"Q2",IF(J195&lt;=Churn!$C$13,"Q3","Q4 (highest)")))</f>
        <v>Q4 (highest)</v>
      </c>
      <c r="AD195" s="4" t="str">
        <f>IF(K195&lt;=40,"&lt;=40%",IF(K195&lt;=60,"40-60%",IF(K195&lt;=80,"60-80%","80%+")))</f>
        <v>60-80%</v>
      </c>
      <c r="AE195" s="4" t="str">
        <f>IF(M195&lt;=2,"1-2",IF(M195&lt;=4,"3-4",IF(M195&lt;=6,"5-6","7+")))</f>
        <v>3-4</v>
      </c>
    </row>
    <row r="196">
      <c r="A196" s="4" t="inlineStr">
        <is>
          <t>reporting_templates</t>
        </is>
      </c>
      <c r="B196" s="4" t="inlineStr">
        <is>
          <t>Reporting</t>
        </is>
      </c>
      <c r="C196" s="4" t="inlineStr">
        <is>
          <t>Java</t>
        </is>
      </c>
      <c r="D196" s="4" t="inlineStr">
        <is>
          <t>v3.0</t>
        </is>
      </c>
      <c r="E196" s="40" t="n">
        <v>45839</v>
      </c>
      <c r="F196" s="4" t="n">
        <v>5</v>
      </c>
      <c r="G196" s="4" t="n">
        <v>2203</v>
      </c>
      <c r="H196" s="18" t="n">
        <v>9.029999999999999</v>
      </c>
      <c r="I196" s="18" t="n">
        <v>4.38</v>
      </c>
      <c r="J196" s="29" t="n">
        <v>47.1</v>
      </c>
      <c r="K196" s="29" t="n">
        <v>67.5</v>
      </c>
      <c r="L196" s="4" t="n">
        <v>2</v>
      </c>
      <c r="M196" s="4" t="n">
        <v>1</v>
      </c>
      <c r="N196" s="4" t="n">
        <v>69</v>
      </c>
      <c r="O196" s="4" t="n">
        <v>0</v>
      </c>
      <c r="P196" s="4" t="n">
        <v>0</v>
      </c>
      <c r="Q196" s="4" t="n">
        <v>0</v>
      </c>
      <c r="R196" s="4" t="n">
        <v>0</v>
      </c>
      <c r="S196" s="4">
        <f>SUM(O196:R196)</f>
        <v>0</v>
      </c>
      <c r="T196" s="18">
        <f>J196/L196</f>
        <v>23.55</v>
      </c>
      <c r="U196" s="18">
        <f>S196/G196*1000</f>
        <v>0</v>
      </c>
      <c r="V196" s="4">
        <f>Q196+R196</f>
        <v>0</v>
      </c>
      <c r="W196" s="29">
        <f>100*((J196-MIN($J$2:$J$236))/(MAX($J$2:$J$236)-MIN($J$2:$J$236))+(H196-MIN($H$2:$H$236))/(MAX($H$2:$H$236)-MIN($H$2:$H$236))+(1-(K196-MIN($K$2:$K$236))/(MAX($K$2:$K$236)-MIN($K$2:$K$236))))/3</f>
        <v>21.7381489541083</v>
      </c>
      <c r="X196" s="4" t="n">
        <v>1</v>
      </c>
      <c r="Y196" s="4" t="n">
        <v>0</v>
      </c>
      <c r="Z196" s="4" t="n">
        <v>0</v>
      </c>
      <c r="AA196" s="4" t="inlineStr">
        <is>
          <t>No</t>
        </is>
      </c>
      <c r="AB196" s="4" t="str">
        <f>IF(H196&lt;=Complexity!$C$11,"Q1 (lowest)",IF(H196&lt;=Complexity!$C$12,"Q2",IF(H196&lt;=Complexity!$C$13,"Q3","Q4 (highest)")))</f>
        <v>Q1 (lowest)</v>
      </c>
      <c r="AC196" s="4" t="str">
        <f>IF(J196&lt;=Churn!$C$11,"Q1 (lowest)",IF(J196&lt;=Churn!$C$12,"Q2",IF(J196&lt;=Churn!$C$13,"Q3","Q4 (highest)")))</f>
        <v>Q1 (lowest)</v>
      </c>
      <c r="AD196" s="4" t="str">
        <f>IF(K196&lt;=40,"&lt;=40%",IF(K196&lt;=60,"40-60%",IF(K196&lt;=80,"60-80%","80%+")))</f>
        <v>60-80%</v>
      </c>
      <c r="AE196" s="4" t="str">
        <f>IF(M196&lt;=2,"1-2",IF(M196&lt;=4,"3-4",IF(M196&lt;=6,"5-6","7+")))</f>
        <v>1-2</v>
      </c>
    </row>
    <row r="197">
      <c r="A197" s="4" t="inlineStr">
        <is>
          <t>ui_charts</t>
        </is>
      </c>
      <c r="B197" s="4" t="inlineStr">
        <is>
          <t>UI</t>
        </is>
      </c>
      <c r="C197" s="4" t="inlineStr">
        <is>
          <t>JavaScript</t>
        </is>
      </c>
      <c r="D197" s="4" t="inlineStr">
        <is>
          <t>v1.0</t>
        </is>
      </c>
      <c r="E197" s="40" t="n">
        <v>45306</v>
      </c>
      <c r="F197" s="4" t="n">
        <v>1</v>
      </c>
      <c r="G197" s="4" t="n">
        <v>2488</v>
      </c>
      <c r="H197" s="18" t="n">
        <v>11.93</v>
      </c>
      <c r="I197" s="18" t="n">
        <v>8.289999999999999</v>
      </c>
      <c r="J197" s="29" t="n">
        <v>368.1</v>
      </c>
      <c r="K197" s="29" t="n">
        <v>61.5</v>
      </c>
      <c r="L197" s="4" t="n">
        <v>10</v>
      </c>
      <c r="M197" s="4" t="n">
        <v>4</v>
      </c>
      <c r="N197" s="4" t="n">
        <v>601</v>
      </c>
      <c r="O197" s="4" t="n">
        <v>0</v>
      </c>
      <c r="P197" s="4" t="n">
        <v>0</v>
      </c>
      <c r="Q197" s="4" t="n">
        <v>0</v>
      </c>
      <c r="R197" s="4" t="n">
        <v>0</v>
      </c>
      <c r="S197" s="4">
        <f>SUM(O197:R197)</f>
        <v>0</v>
      </c>
      <c r="T197" s="18">
        <f>J197/L197</f>
        <v>36.81</v>
      </c>
      <c r="U197" s="18">
        <f>S197/G197*1000</f>
        <v>0</v>
      </c>
      <c r="V197" s="4">
        <f>Q197+R197</f>
        <v>0</v>
      </c>
      <c r="W197" s="29">
        <f>100*((J197-MIN($J$2:$J$236))/(MAX($J$2:$J$236)-MIN($J$2:$J$236))+(H197-MIN($H$2:$H$236))/(MAX($H$2:$H$236)-MIN($H$2:$H$236))+(1-(K197-MIN($K$2:$K$236))/(MAX($K$2:$K$236)-MIN($K$2:$K$236))))/3</f>
        <v>36.3541968608519</v>
      </c>
      <c r="X197" s="4" t="n">
        <v>0</v>
      </c>
      <c r="Y197" s="4" t="n">
        <v>1</v>
      </c>
      <c r="Z197" s="4" t="n">
        <v>0</v>
      </c>
      <c r="AA197" s="4" t="inlineStr">
        <is>
          <t>No</t>
        </is>
      </c>
      <c r="AB197" s="4" t="str">
        <f>IF(H197&lt;=Complexity!$C$11,"Q1 (lowest)",IF(H197&lt;=Complexity!$C$12,"Q2",IF(H197&lt;=Complexity!$C$13,"Q3","Q4 (highest)")))</f>
        <v>Q2</v>
      </c>
      <c r="AC197" s="4" t="str">
        <f>IF(J197&lt;=Churn!$C$11,"Q1 (lowest)",IF(J197&lt;=Churn!$C$12,"Q2",IF(J197&lt;=Churn!$C$13,"Q3","Q4 (highest)")))</f>
        <v>Q3</v>
      </c>
      <c r="AD197" s="4" t="str">
        <f>IF(K197&lt;=40,"&lt;=40%",IF(K197&lt;=60,"40-60%",IF(K197&lt;=80,"60-80%","80%+")))</f>
        <v>60-80%</v>
      </c>
      <c r="AE197" s="4" t="str">
        <f>IF(M197&lt;=2,"1-2",IF(M197&lt;=4,"3-4",IF(M197&lt;=6,"5-6","7+")))</f>
        <v>3-4</v>
      </c>
    </row>
    <row r="198">
      <c r="A198" s="4" t="inlineStr">
        <is>
          <t>ui_charts</t>
        </is>
      </c>
      <c r="B198" s="4" t="inlineStr">
        <is>
          <t>UI</t>
        </is>
      </c>
      <c r="C198" s="4" t="inlineStr">
        <is>
          <t>JavaScript</t>
        </is>
      </c>
      <c r="D198" s="4" t="inlineStr">
        <is>
          <t>v1.1</t>
        </is>
      </c>
      <c r="E198" s="40" t="n">
        <v>45432</v>
      </c>
      <c r="F198" s="4" t="n">
        <v>2</v>
      </c>
      <c r="G198" s="4" t="n">
        <v>2488</v>
      </c>
      <c r="H198" s="18" t="n">
        <v>10.38</v>
      </c>
      <c r="I198" s="18" t="n">
        <v>9.025</v>
      </c>
      <c r="J198" s="29" t="n">
        <v>287.4</v>
      </c>
      <c r="K198" s="29" t="n">
        <v>59.6</v>
      </c>
      <c r="L198" s="4" t="n">
        <v>9</v>
      </c>
      <c r="M198" s="4" t="n">
        <v>3</v>
      </c>
      <c r="N198" s="4" t="n">
        <v>360</v>
      </c>
      <c r="O198" s="4" t="n">
        <v>0</v>
      </c>
      <c r="P198" s="4" t="n">
        <v>2</v>
      </c>
      <c r="Q198" s="4" t="n">
        <v>0</v>
      </c>
      <c r="R198" s="4" t="n">
        <v>0</v>
      </c>
      <c r="S198" s="4">
        <f>SUM(O198:R198)</f>
        <v>2</v>
      </c>
      <c r="T198" s="18">
        <f>J198/L198</f>
        <v>31.9333333333333</v>
      </c>
      <c r="U198" s="18">
        <f>S198/G198*1000</f>
        <v>0.803858520900322</v>
      </c>
      <c r="V198" s="4">
        <f>Q198+R198</f>
        <v>0</v>
      </c>
      <c r="W198" s="29">
        <f>100*((J198-MIN($J$2:$J$236))/(MAX($J$2:$J$236)-MIN($J$2:$J$236))+(H198-MIN($H$2:$H$236))/(MAX($H$2:$H$236)-MIN($H$2:$H$236))+(1-(K198-MIN($K$2:$K$236))/(MAX($K$2:$K$236)-MIN($K$2:$K$236))))/3</f>
        <v>33.3624377323503</v>
      </c>
      <c r="X198" s="4" t="n">
        <v>0</v>
      </c>
      <c r="Y198" s="4" t="n">
        <v>1</v>
      </c>
      <c r="Z198" s="4" t="n">
        <v>0</v>
      </c>
      <c r="AA198" s="4" t="inlineStr">
        <is>
          <t>No</t>
        </is>
      </c>
      <c r="AB198" s="4" t="str">
        <f>IF(H198&lt;=Complexity!$C$11,"Q1 (lowest)",IF(H198&lt;=Complexity!$C$12,"Q2",IF(H198&lt;=Complexity!$C$13,"Q3","Q4 (highest)")))</f>
        <v>Q1 (lowest)</v>
      </c>
      <c r="AC198" s="4" t="str">
        <f>IF(J198&lt;=Churn!$C$11,"Q1 (lowest)",IF(J198&lt;=Churn!$C$12,"Q2",IF(J198&lt;=Churn!$C$13,"Q3","Q4 (highest)")))</f>
        <v>Q3</v>
      </c>
      <c r="AD198" s="4" t="str">
        <f>IF(K198&lt;=40,"&lt;=40%",IF(K198&lt;=60,"40-60%",IF(K198&lt;=80,"60-80%","80%+")))</f>
        <v>40-60%</v>
      </c>
      <c r="AE198" s="4" t="str">
        <f>IF(M198&lt;=2,"1-2",IF(M198&lt;=4,"3-4",IF(M198&lt;=6,"5-6","7+")))</f>
        <v>3-4</v>
      </c>
    </row>
    <row r="199">
      <c r="A199" s="4" t="inlineStr">
        <is>
          <t>ui_charts</t>
        </is>
      </c>
      <c r="B199" s="4" t="inlineStr">
        <is>
          <t>UI</t>
        </is>
      </c>
      <c r="C199" s="4" t="inlineStr">
        <is>
          <t>JavaScript</t>
        </is>
      </c>
      <c r="D199" s="4" t="inlineStr">
        <is>
          <t>v2.0</t>
        </is>
      </c>
      <c r="E199" s="40" t="n">
        <v>45545</v>
      </c>
      <c r="F199" s="4" t="n">
        <v>3</v>
      </c>
      <c r="G199" s="4" t="n">
        <v>2488</v>
      </c>
      <c r="H199" s="18" t="n">
        <v>14.33</v>
      </c>
      <c r="I199" s="18" t="n">
        <v>8.300000000000001</v>
      </c>
      <c r="J199" s="29" t="n">
        <v>348.9</v>
      </c>
      <c r="K199" s="29" t="n">
        <v>59.25</v>
      </c>
      <c r="L199" s="4" t="n">
        <v>9</v>
      </c>
      <c r="M199" s="4" t="n">
        <v>2</v>
      </c>
      <c r="N199" s="4" t="n">
        <v>479</v>
      </c>
      <c r="O199" s="4" t="n">
        <v>1</v>
      </c>
      <c r="P199" s="4" t="n">
        <v>0</v>
      </c>
      <c r="Q199" s="4" t="n">
        <v>0</v>
      </c>
      <c r="R199" s="4" t="n">
        <v>0</v>
      </c>
      <c r="S199" s="4">
        <f>SUM(O199:R199)</f>
        <v>1</v>
      </c>
      <c r="T199" s="18">
        <f>J199/L199</f>
        <v>38.7666666666667</v>
      </c>
      <c r="U199" s="18">
        <f>S199/G199*1000</f>
        <v>0.401929260450161</v>
      </c>
      <c r="V199" s="4">
        <f>Q199+R199</f>
        <v>0</v>
      </c>
      <c r="W199" s="29">
        <f>100*((J199-MIN($J$2:$J$236))/(MAX($J$2:$J$236)-MIN($J$2:$J$236))+(H199-MIN($H$2:$H$236))/(MAX($H$2:$H$236)-MIN($H$2:$H$236))+(1-(K199-MIN($K$2:$K$236))/(MAX($K$2:$K$236)-MIN($K$2:$K$236))))/3</f>
        <v>39.4015136843927</v>
      </c>
      <c r="X199" s="4" t="n">
        <v>2</v>
      </c>
      <c r="Y199" s="4" t="n">
        <v>1</v>
      </c>
      <c r="Z199" s="4" t="n">
        <v>0</v>
      </c>
      <c r="AA199" s="4" t="inlineStr">
        <is>
          <t>No</t>
        </is>
      </c>
      <c r="AB199" s="4" t="str">
        <f>IF(H199&lt;=Complexity!$C$11,"Q1 (lowest)",IF(H199&lt;=Complexity!$C$12,"Q2",IF(H199&lt;=Complexity!$C$13,"Q3","Q4 (highest)")))</f>
        <v>Q2</v>
      </c>
      <c r="AC199" s="4" t="str">
        <f>IF(J199&lt;=Churn!$C$11,"Q1 (lowest)",IF(J199&lt;=Churn!$C$12,"Q2",IF(J199&lt;=Churn!$C$13,"Q3","Q4 (highest)")))</f>
        <v>Q3</v>
      </c>
      <c r="AD199" s="4" t="str">
        <f>IF(K199&lt;=40,"&lt;=40%",IF(K199&lt;=60,"40-60%",IF(K199&lt;=80,"60-80%","80%+")))</f>
        <v>40-60%</v>
      </c>
      <c r="AE199" s="4" t="str">
        <f>IF(M199&lt;=2,"1-2",IF(M199&lt;=4,"3-4",IF(M199&lt;=6,"5-6","7+")))</f>
        <v>1-2</v>
      </c>
    </row>
    <row r="200">
      <c r="A200" s="4" t="inlineStr">
        <is>
          <t>ui_charts</t>
        </is>
      </c>
      <c r="B200" s="4" t="inlineStr">
        <is>
          <t>UI</t>
        </is>
      </c>
      <c r="C200" s="4" t="inlineStr">
        <is>
          <t>JavaScript</t>
        </is>
      </c>
      <c r="D200" s="4" t="inlineStr">
        <is>
          <t>v2.1</t>
        </is>
      </c>
      <c r="E200" s="40" t="n">
        <v>45706</v>
      </c>
      <c r="F200" s="4" t="n">
        <v>4</v>
      </c>
      <c r="G200" s="4" t="n">
        <v>2488</v>
      </c>
      <c r="H200" s="18" t="n">
        <v>11.155</v>
      </c>
      <c r="I200" s="18" t="n">
        <v>13.47</v>
      </c>
      <c r="J200" s="29" t="n">
        <v>604.9</v>
      </c>
      <c r="K200" s="29" t="n">
        <v>57.9</v>
      </c>
      <c r="L200" s="4" t="n">
        <v>17</v>
      </c>
      <c r="M200" s="4" t="n">
        <v>4</v>
      </c>
      <c r="N200" s="4" t="n">
        <v>1039</v>
      </c>
      <c r="O200" s="4" t="n">
        <v>0</v>
      </c>
      <c r="P200" s="4" t="n">
        <v>1</v>
      </c>
      <c r="Q200" s="4" t="n">
        <v>0</v>
      </c>
      <c r="R200" s="4" t="n">
        <v>0</v>
      </c>
      <c r="S200" s="4">
        <f>SUM(O200:R200)</f>
        <v>1</v>
      </c>
      <c r="T200" s="18">
        <f>J200/L200</f>
        <v>35.5823529411765</v>
      </c>
      <c r="U200" s="18">
        <f>S200/G200*1000</f>
        <v>0.401929260450161</v>
      </c>
      <c r="V200" s="4">
        <f>Q200+R200</f>
        <v>0</v>
      </c>
      <c r="W200" s="29">
        <f>100*((J200-MIN($J$2:$J$236))/(MAX($J$2:$J$236)-MIN($J$2:$J$236))+(H200-MIN($H$2:$H$236))/(MAX($H$2:$H$236)-MIN($H$2:$H$236))+(1-(K200-MIN($K$2:$K$236))/(MAX($K$2:$K$236)-MIN($K$2:$K$236))))/3</f>
        <v>43.6658960257385</v>
      </c>
      <c r="X200" s="4" t="n">
        <v>1</v>
      </c>
      <c r="Y200" s="4" t="n">
        <v>1</v>
      </c>
      <c r="Z200" s="4" t="n">
        <v>0</v>
      </c>
      <c r="AA200" s="4" t="inlineStr">
        <is>
          <t>Yes</t>
        </is>
      </c>
      <c r="AB200" s="4" t="str">
        <f>IF(H200&lt;=Complexity!$C$11,"Q1 (lowest)",IF(H200&lt;=Complexity!$C$12,"Q2",IF(H200&lt;=Complexity!$C$13,"Q3","Q4 (highest)")))</f>
        <v>Q2</v>
      </c>
      <c r="AC200" s="4" t="str">
        <f>IF(J200&lt;=Churn!$C$11,"Q1 (lowest)",IF(J200&lt;=Churn!$C$12,"Q2",IF(J200&lt;=Churn!$C$13,"Q3","Q4 (highest)")))</f>
        <v>Q4 (highest)</v>
      </c>
      <c r="AD200" s="4" t="str">
        <f>IF(K200&lt;=40,"&lt;=40%",IF(K200&lt;=60,"40-60%",IF(K200&lt;=80,"60-80%","80%+")))</f>
        <v>40-60%</v>
      </c>
      <c r="AE200" s="4" t="str">
        <f>IF(M200&lt;=2,"1-2",IF(M200&lt;=4,"3-4",IF(M200&lt;=6,"5-6","7+")))</f>
        <v>3-4</v>
      </c>
    </row>
    <row r="201">
      <c r="A201" s="4" t="inlineStr">
        <is>
          <t>ui_charts</t>
        </is>
      </c>
      <c r="B201" s="4" t="inlineStr">
        <is>
          <t>UI</t>
        </is>
      </c>
      <c r="C201" s="4" t="inlineStr">
        <is>
          <t>JavaScript</t>
        </is>
      </c>
      <c r="D201" s="4" t="inlineStr">
        <is>
          <t>v3.0</t>
        </is>
      </c>
      <c r="E201" s="40" t="n">
        <v>45839</v>
      </c>
      <c r="F201" s="4" t="n">
        <v>5</v>
      </c>
      <c r="G201" s="4" t="n">
        <v>2488</v>
      </c>
      <c r="H201" s="18" t="n">
        <v>9.880000000000001</v>
      </c>
      <c r="I201" s="18" t="n">
        <v>9.75</v>
      </c>
      <c r="J201" s="29" t="n">
        <v>214.1</v>
      </c>
      <c r="K201" s="29" t="n">
        <v>58.9</v>
      </c>
      <c r="L201" s="4" t="n">
        <v>6</v>
      </c>
      <c r="M201" s="4" t="n">
        <v>3</v>
      </c>
      <c r="N201" s="4" t="n">
        <v>384</v>
      </c>
      <c r="O201" s="4" t="n">
        <v>0</v>
      </c>
      <c r="P201" s="4" t="n">
        <v>1</v>
      </c>
      <c r="Q201" s="4" t="n">
        <v>0</v>
      </c>
      <c r="R201" s="4" t="n">
        <v>0</v>
      </c>
      <c r="S201" s="4">
        <f>SUM(O201:R201)</f>
        <v>1</v>
      </c>
      <c r="T201" s="18">
        <f>J201/L201</f>
        <v>35.6833333333333</v>
      </c>
      <c r="U201" s="18">
        <f>S201/G201*1000</f>
        <v>0.401929260450161</v>
      </c>
      <c r="V201" s="4">
        <f>Q201+R201</f>
        <v>0</v>
      </c>
      <c r="W201" s="29">
        <f>100*((J201-MIN($J$2:$J$236))/(MAX($J$2:$J$236)-MIN($J$2:$J$236))+(H201-MIN($H$2:$H$236))/(MAX($H$2:$H$236)-MIN($H$2:$H$236))+(1-(K201-MIN($K$2:$K$236))/(MAX($K$2:$K$236)-MIN($K$2:$K$236))))/3</f>
        <v>31.1410335979318</v>
      </c>
      <c r="X201" s="4" t="n">
        <v>1</v>
      </c>
      <c r="Y201" s="4" t="n">
        <v>1</v>
      </c>
      <c r="Z201" s="4" t="n">
        <v>0</v>
      </c>
      <c r="AA201" s="4" t="inlineStr">
        <is>
          <t>No</t>
        </is>
      </c>
      <c r="AB201" s="4" t="str">
        <f>IF(H201&lt;=Complexity!$C$11,"Q1 (lowest)",IF(H201&lt;=Complexity!$C$12,"Q2",IF(H201&lt;=Complexity!$C$13,"Q3","Q4 (highest)")))</f>
        <v>Q1 (lowest)</v>
      </c>
      <c r="AC201" s="4" t="str">
        <f>IF(J201&lt;=Churn!$C$11,"Q1 (lowest)",IF(J201&lt;=Churn!$C$12,"Q2",IF(J201&lt;=Churn!$C$13,"Q3","Q4 (highest)")))</f>
        <v>Q2</v>
      </c>
      <c r="AD201" s="4" t="str">
        <f>IF(K201&lt;=40,"&lt;=40%",IF(K201&lt;=60,"40-60%",IF(K201&lt;=80,"60-80%","80%+")))</f>
        <v>40-60%</v>
      </c>
      <c r="AE201" s="4" t="str">
        <f>IF(M201&lt;=2,"1-2",IF(M201&lt;=4,"3-4",IF(M201&lt;=6,"5-6","7+")))</f>
        <v>3-4</v>
      </c>
    </row>
    <row r="202">
      <c r="A202" s="4" t="inlineStr">
        <is>
          <t>ui_dashboard</t>
        </is>
      </c>
      <c r="B202" s="4" t="inlineStr">
        <is>
          <t>UI</t>
        </is>
      </c>
      <c r="C202" s="4" t="inlineStr">
        <is>
          <t>JavaScript</t>
        </is>
      </c>
      <c r="D202" s="4" t="inlineStr">
        <is>
          <t>v1.0</t>
        </is>
      </c>
      <c r="E202" s="40" t="n">
        <v>45306</v>
      </c>
      <c r="F202" s="4" t="n">
        <v>1</v>
      </c>
      <c r="G202" s="4" t="n">
        <v>1545</v>
      </c>
      <c r="H202" s="18" t="n">
        <v>19.785</v>
      </c>
      <c r="I202" s="18" t="n">
        <v>12.45</v>
      </c>
      <c r="J202" s="29" t="n">
        <v>72.09999999999999</v>
      </c>
      <c r="K202" s="29" t="n">
        <v>57.65</v>
      </c>
      <c r="L202" s="4" t="n">
        <v>2</v>
      </c>
      <c r="M202" s="4" t="n">
        <v>1</v>
      </c>
      <c r="N202" s="4" t="n">
        <v>126</v>
      </c>
      <c r="O202" s="4" t="n">
        <v>0</v>
      </c>
      <c r="P202" s="4" t="n">
        <v>0</v>
      </c>
      <c r="Q202" s="4" t="n">
        <v>0</v>
      </c>
      <c r="R202" s="4" t="n">
        <v>0</v>
      </c>
      <c r="S202" s="4">
        <f>SUM(O202:R202)</f>
        <v>0</v>
      </c>
      <c r="T202" s="18">
        <f>J202/L202</f>
        <v>36.05</v>
      </c>
      <c r="U202" s="18">
        <f>S202/G202*1000</f>
        <v>0</v>
      </c>
      <c r="V202" s="4">
        <f>Q202+R202</f>
        <v>0</v>
      </c>
      <c r="W202" s="29">
        <f>100*((J202-MIN($J$2:$J$236))/(MAX($J$2:$J$236)-MIN($J$2:$J$236))+(H202-MIN($H$2:$H$236))/(MAX($H$2:$H$236)-MIN($H$2:$H$236))+(1-(K202-MIN($K$2:$K$236))/(MAX($K$2:$K$236)-MIN($K$2:$K$236))))/3</f>
        <v>38.3323866055462</v>
      </c>
      <c r="X202" s="4" t="n">
        <v>0</v>
      </c>
      <c r="Y202" s="4" t="n">
        <v>0</v>
      </c>
      <c r="Z202" s="4" t="n">
        <v>0</v>
      </c>
      <c r="AA202" s="4" t="inlineStr">
        <is>
          <t>No</t>
        </is>
      </c>
      <c r="AB202" s="4" t="str">
        <f>IF(H202&lt;=Complexity!$C$11,"Q1 (lowest)",IF(H202&lt;=Complexity!$C$12,"Q2",IF(H202&lt;=Complexity!$C$13,"Q3","Q4 (highest)")))</f>
        <v>Q4 (highest)</v>
      </c>
      <c r="AC202" s="4" t="str">
        <f>IF(J202&lt;=Churn!$C$11,"Q1 (lowest)",IF(J202&lt;=Churn!$C$12,"Q2",IF(J202&lt;=Churn!$C$13,"Q3","Q4 (highest)")))</f>
        <v>Q1 (lowest)</v>
      </c>
      <c r="AD202" s="4" t="str">
        <f>IF(K202&lt;=40,"&lt;=40%",IF(K202&lt;=60,"40-60%",IF(K202&lt;=80,"60-80%","80%+")))</f>
        <v>40-60%</v>
      </c>
      <c r="AE202" s="4" t="str">
        <f>IF(M202&lt;=2,"1-2",IF(M202&lt;=4,"3-4",IF(M202&lt;=6,"5-6","7+")))</f>
        <v>1-2</v>
      </c>
    </row>
    <row r="203">
      <c r="A203" s="4" t="inlineStr">
        <is>
          <t>ui_dashboard</t>
        </is>
      </c>
      <c r="B203" s="4" t="inlineStr">
        <is>
          <t>UI</t>
        </is>
      </c>
      <c r="C203" s="4" t="inlineStr">
        <is>
          <t>JavaScript</t>
        </is>
      </c>
      <c r="D203" s="4" t="inlineStr">
        <is>
          <t>v1.1</t>
        </is>
      </c>
      <c r="E203" s="40" t="n">
        <v>45432</v>
      </c>
      <c r="F203" s="4" t="n">
        <v>2</v>
      </c>
      <c r="G203" s="4" t="n">
        <v>1545</v>
      </c>
      <c r="H203" s="18" t="n">
        <v>18.57</v>
      </c>
      <c r="I203" s="18" t="n">
        <v>9.800000000000001</v>
      </c>
      <c r="J203" s="29" t="n">
        <v>272.5</v>
      </c>
      <c r="K203" s="29" t="n">
        <v>55.4</v>
      </c>
      <c r="L203" s="4" t="n">
        <v>10</v>
      </c>
      <c r="M203" s="4" t="n">
        <v>3</v>
      </c>
      <c r="N203" s="4" t="n">
        <v>346</v>
      </c>
      <c r="O203" s="4" t="n">
        <v>1</v>
      </c>
      <c r="P203" s="4" t="n">
        <v>1</v>
      </c>
      <c r="Q203" s="4" t="n">
        <v>1</v>
      </c>
      <c r="R203" s="4" t="n">
        <v>0</v>
      </c>
      <c r="S203" s="4">
        <f>SUM(O203:R203)</f>
        <v>3</v>
      </c>
      <c r="T203" s="18">
        <f>J203/L203</f>
        <v>27.25</v>
      </c>
      <c r="U203" s="18">
        <f>S203/G203*1000</f>
        <v>1.94174757281553</v>
      </c>
      <c r="V203" s="4">
        <f>Q203+R203</f>
        <v>1</v>
      </c>
      <c r="W203" s="29">
        <f>100*((J203-MIN($J$2:$J$236))/(MAX($J$2:$J$236)-MIN($J$2:$J$236))+(H203-MIN($H$2:$H$236))/(MAX($H$2:$H$236)-MIN($H$2:$H$236))+(1-(K203-MIN($K$2:$K$236))/(MAX($K$2:$K$236)-MIN($K$2:$K$236))))/3</f>
        <v>43.5633461522907</v>
      </c>
      <c r="X203" s="4" t="n">
        <v>0</v>
      </c>
      <c r="Y203" s="4" t="n">
        <v>0</v>
      </c>
      <c r="Z203" s="4" t="n">
        <v>1</v>
      </c>
      <c r="AA203" s="4" t="inlineStr">
        <is>
          <t>No</t>
        </is>
      </c>
      <c r="AB203" s="4" t="str">
        <f>IF(H203&lt;=Complexity!$C$11,"Q1 (lowest)",IF(H203&lt;=Complexity!$C$12,"Q2",IF(H203&lt;=Complexity!$C$13,"Q3","Q4 (highest)")))</f>
        <v>Q3</v>
      </c>
      <c r="AC203" s="4" t="str">
        <f>IF(J203&lt;=Churn!$C$11,"Q1 (lowest)",IF(J203&lt;=Churn!$C$12,"Q2",IF(J203&lt;=Churn!$C$13,"Q3","Q4 (highest)")))</f>
        <v>Q2</v>
      </c>
      <c r="AD203" s="4" t="str">
        <f>IF(K203&lt;=40,"&lt;=40%",IF(K203&lt;=60,"40-60%",IF(K203&lt;=80,"60-80%","80%+")))</f>
        <v>40-60%</v>
      </c>
      <c r="AE203" s="4" t="str">
        <f>IF(M203&lt;=2,"1-2",IF(M203&lt;=4,"3-4",IF(M203&lt;=6,"5-6","7+")))</f>
        <v>3-4</v>
      </c>
    </row>
    <row r="204">
      <c r="A204" s="4" t="inlineStr">
        <is>
          <t>ui_dashboard</t>
        </is>
      </c>
      <c r="B204" s="4" t="inlineStr">
        <is>
          <t>UI</t>
        </is>
      </c>
      <c r="C204" s="4" t="inlineStr">
        <is>
          <t>JavaScript</t>
        </is>
      </c>
      <c r="D204" s="4" t="inlineStr">
        <is>
          <t>v2.0</t>
        </is>
      </c>
      <c r="E204" s="40" t="n">
        <v>45545</v>
      </c>
      <c r="F204" s="4" t="n">
        <v>3</v>
      </c>
      <c r="G204" s="4" t="n">
        <v>1545</v>
      </c>
      <c r="H204" s="18" t="n">
        <v>20.83</v>
      </c>
      <c r="I204" s="18" t="n">
        <v>16.1</v>
      </c>
      <c r="J204" s="29" t="n">
        <v>49.2</v>
      </c>
      <c r="K204" s="29" t="n">
        <v>54.7</v>
      </c>
      <c r="L204" s="4" t="n">
        <v>1</v>
      </c>
      <c r="M204" s="4" t="n">
        <v>1</v>
      </c>
      <c r="N204" s="4" t="n">
        <v>71</v>
      </c>
      <c r="O204" s="4" t="n">
        <v>0</v>
      </c>
      <c r="P204" s="4" t="n">
        <v>0</v>
      </c>
      <c r="Q204" s="4" t="n">
        <v>0</v>
      </c>
      <c r="R204" s="4" t="n">
        <v>0</v>
      </c>
      <c r="S204" s="4">
        <f>SUM(O204:R204)</f>
        <v>0</v>
      </c>
      <c r="T204" s="18">
        <f>J204/L204</f>
        <v>49.2</v>
      </c>
      <c r="U204" s="18">
        <f>S204/G204*1000</f>
        <v>0</v>
      </c>
      <c r="V204" s="4">
        <f>Q204+R204</f>
        <v>0</v>
      </c>
      <c r="W204" s="29">
        <f>100*((J204-MIN($J$2:$J$236))/(MAX($J$2:$J$236)-MIN($J$2:$J$236))+(H204-MIN($H$2:$H$236))/(MAX($H$2:$H$236)-MIN($H$2:$H$236))+(1-(K204-MIN($K$2:$K$236))/(MAX($K$2:$K$236)-MIN($K$2:$K$236))))/3</f>
        <v>40.1590215332781</v>
      </c>
      <c r="X204" s="4" t="n">
        <v>3</v>
      </c>
      <c r="Y204" s="4" t="n">
        <v>0</v>
      </c>
      <c r="Z204" s="4" t="n">
        <v>0</v>
      </c>
      <c r="AA204" s="4" t="inlineStr">
        <is>
          <t>No</t>
        </is>
      </c>
      <c r="AB204" s="4" t="str">
        <f>IF(H204&lt;=Complexity!$C$11,"Q1 (lowest)",IF(H204&lt;=Complexity!$C$12,"Q2",IF(H204&lt;=Complexity!$C$13,"Q3","Q4 (highest)")))</f>
        <v>Q4 (highest)</v>
      </c>
      <c r="AC204" s="4" t="str">
        <f>IF(J204&lt;=Churn!$C$11,"Q1 (lowest)",IF(J204&lt;=Churn!$C$12,"Q2",IF(J204&lt;=Churn!$C$13,"Q3","Q4 (highest)")))</f>
        <v>Q1 (lowest)</v>
      </c>
      <c r="AD204" s="4" t="str">
        <f>IF(K204&lt;=40,"&lt;=40%",IF(K204&lt;=60,"40-60%",IF(K204&lt;=80,"60-80%","80%+")))</f>
        <v>40-60%</v>
      </c>
      <c r="AE204" s="4" t="str">
        <f>IF(M204&lt;=2,"1-2",IF(M204&lt;=4,"3-4",IF(M204&lt;=6,"5-6","7+")))</f>
        <v>1-2</v>
      </c>
    </row>
    <row r="205">
      <c r="A205" s="4" t="inlineStr">
        <is>
          <t>ui_dashboard</t>
        </is>
      </c>
      <c r="B205" s="4" t="inlineStr">
        <is>
          <t>UI</t>
        </is>
      </c>
      <c r="C205" s="4" t="inlineStr">
        <is>
          <t>JavaScript</t>
        </is>
      </c>
      <c r="D205" s="4" t="inlineStr">
        <is>
          <t>v2.1</t>
        </is>
      </c>
      <c r="E205" s="40" t="n">
        <v>45706</v>
      </c>
      <c r="F205" s="4" t="n">
        <v>4</v>
      </c>
      <c r="G205" s="4" t="n">
        <v>1545</v>
      </c>
      <c r="H205" s="18" t="n">
        <v>18.74</v>
      </c>
      <c r="I205" s="18" t="n">
        <v>13.26</v>
      </c>
      <c r="J205" s="29" t="n">
        <v>221.1</v>
      </c>
      <c r="K205" s="29" t="n">
        <v>59.9</v>
      </c>
      <c r="L205" s="4" t="n">
        <v>5</v>
      </c>
      <c r="M205" s="4" t="n">
        <v>2</v>
      </c>
      <c r="N205" s="4" t="n">
        <v>390</v>
      </c>
      <c r="O205" s="4" t="n">
        <v>0</v>
      </c>
      <c r="P205" s="4" t="n">
        <v>0</v>
      </c>
      <c r="Q205" s="4" t="n">
        <v>0</v>
      </c>
      <c r="R205" s="4" t="n">
        <v>0</v>
      </c>
      <c r="S205" s="4">
        <f>SUM(O205:R205)</f>
        <v>0</v>
      </c>
      <c r="T205" s="18">
        <f>J205/L205</f>
        <v>44.22</v>
      </c>
      <c r="U205" s="18">
        <f>S205/G205*1000</f>
        <v>0</v>
      </c>
      <c r="V205" s="4">
        <f>Q205+R205</f>
        <v>0</v>
      </c>
      <c r="W205" s="29">
        <f>100*((J205-MIN($J$2:$J$236))/(MAX($J$2:$J$236)-MIN($J$2:$J$236))+(H205-MIN($H$2:$H$236))/(MAX($H$2:$H$236)-MIN($H$2:$H$236))+(1-(K205-MIN($K$2:$K$236))/(MAX($K$2:$K$236)-MIN($K$2:$K$236))))/3</f>
        <v>40.2824907326359</v>
      </c>
      <c r="X205" s="4" t="n">
        <v>0</v>
      </c>
      <c r="Y205" s="4" t="n">
        <v>0</v>
      </c>
      <c r="Z205" s="4" t="n">
        <v>0</v>
      </c>
      <c r="AA205" s="4" t="inlineStr">
        <is>
          <t>No</t>
        </is>
      </c>
      <c r="AB205" s="4" t="str">
        <f>IF(H205&lt;=Complexity!$C$11,"Q1 (lowest)",IF(H205&lt;=Complexity!$C$12,"Q2",IF(H205&lt;=Complexity!$C$13,"Q3","Q4 (highest)")))</f>
        <v>Q3</v>
      </c>
      <c r="AC205" s="4" t="str">
        <f>IF(J205&lt;=Churn!$C$11,"Q1 (lowest)",IF(J205&lt;=Churn!$C$12,"Q2",IF(J205&lt;=Churn!$C$13,"Q3","Q4 (highest)")))</f>
        <v>Q2</v>
      </c>
      <c r="AD205" s="4" t="str">
        <f>IF(K205&lt;=40,"&lt;=40%",IF(K205&lt;=60,"40-60%",IF(K205&lt;=80,"60-80%","80%+")))</f>
        <v>40-60%</v>
      </c>
      <c r="AE205" s="4" t="str">
        <f>IF(M205&lt;=2,"1-2",IF(M205&lt;=4,"3-4",IF(M205&lt;=6,"5-6","7+")))</f>
        <v>1-2</v>
      </c>
    </row>
    <row r="206">
      <c r="A206" s="4" t="inlineStr">
        <is>
          <t>ui_dashboard</t>
        </is>
      </c>
      <c r="B206" s="4" t="inlineStr">
        <is>
          <t>UI</t>
        </is>
      </c>
      <c r="C206" s="4" t="inlineStr">
        <is>
          <t>JavaScript</t>
        </is>
      </c>
      <c r="D206" s="4" t="inlineStr">
        <is>
          <t>v3.0</t>
        </is>
      </c>
      <c r="E206" s="40" t="n">
        <v>45839</v>
      </c>
      <c r="F206" s="4" t="n">
        <v>5</v>
      </c>
      <c r="G206" s="4" t="n">
        <v>1545</v>
      </c>
      <c r="H206" s="18" t="n">
        <v>21.02</v>
      </c>
      <c r="I206" s="18" t="n">
        <v>12.855</v>
      </c>
      <c r="J206" s="29" t="n">
        <v>244.8</v>
      </c>
      <c r="K206" s="29" t="n">
        <v>65.09999999999999</v>
      </c>
      <c r="L206" s="4" t="n">
        <v>6</v>
      </c>
      <c r="M206" s="4" t="n">
        <v>2</v>
      </c>
      <c r="N206" s="4" t="n">
        <v>373</v>
      </c>
      <c r="O206" s="4" t="n">
        <v>0</v>
      </c>
      <c r="P206" s="4" t="n">
        <v>0</v>
      </c>
      <c r="Q206" s="4" t="n">
        <v>0</v>
      </c>
      <c r="R206" s="4" t="n">
        <v>0</v>
      </c>
      <c r="S206" s="4">
        <f>SUM(O206:R206)</f>
        <v>0</v>
      </c>
      <c r="T206" s="18">
        <f>J206/L206</f>
        <v>40.8</v>
      </c>
      <c r="U206" s="18">
        <f>S206/G206*1000</f>
        <v>0</v>
      </c>
      <c r="V206" s="4">
        <f>Q206+R206</f>
        <v>0</v>
      </c>
      <c r="W206" s="29">
        <f>100*((J206-MIN($J$2:$J$236))/(MAX($J$2:$J$236)-MIN($J$2:$J$236))+(H206-MIN($H$2:$H$236))/(MAX($H$2:$H$236)-MIN($H$2:$H$236))+(1-(K206-MIN($K$2:$K$236))/(MAX($K$2:$K$236)-MIN($K$2:$K$236))))/3</f>
        <v>40.9815232405608</v>
      </c>
      <c r="X206" s="4" t="n">
        <v>0</v>
      </c>
      <c r="Y206" s="4" t="n">
        <v>0</v>
      </c>
      <c r="Z206" s="4" t="n">
        <v>0</v>
      </c>
      <c r="AA206" s="4" t="inlineStr">
        <is>
          <t>No</t>
        </is>
      </c>
      <c r="AB206" s="4" t="str">
        <f>IF(H206&lt;=Complexity!$C$11,"Q1 (lowest)",IF(H206&lt;=Complexity!$C$12,"Q2",IF(H206&lt;=Complexity!$C$13,"Q3","Q4 (highest)")))</f>
        <v>Q4 (highest)</v>
      </c>
      <c r="AC206" s="4" t="str">
        <f>IF(J206&lt;=Churn!$C$11,"Q1 (lowest)",IF(J206&lt;=Churn!$C$12,"Q2",IF(J206&lt;=Churn!$C$13,"Q3","Q4 (highest)")))</f>
        <v>Q2</v>
      </c>
      <c r="AD206" s="4" t="str">
        <f>IF(K206&lt;=40,"&lt;=40%",IF(K206&lt;=60,"40-60%",IF(K206&lt;=80,"60-80%","80%+")))</f>
        <v>60-80%</v>
      </c>
      <c r="AE206" s="4" t="str">
        <f>IF(M206&lt;=2,"1-2",IF(M206&lt;=4,"3-4",IF(M206&lt;=6,"5-6","7+")))</f>
        <v>1-2</v>
      </c>
    </row>
    <row r="207">
      <c r="A207" s="4" t="inlineStr">
        <is>
          <t>ui_forms</t>
        </is>
      </c>
      <c r="B207" s="4" t="inlineStr">
        <is>
          <t>UI</t>
        </is>
      </c>
      <c r="C207" s="4" t="inlineStr">
        <is>
          <t>JavaScript</t>
        </is>
      </c>
      <c r="D207" s="4" t="inlineStr">
        <is>
          <t>v1.0</t>
        </is>
      </c>
      <c r="E207" s="40" t="n">
        <v>45306</v>
      </c>
      <c r="F207" s="4" t="n">
        <v>1</v>
      </c>
      <c r="G207" s="4" t="n">
        <v>1617</v>
      </c>
      <c r="H207" s="18" t="n">
        <v>16.45</v>
      </c>
      <c r="I207" s="18" t="n">
        <v>5.54</v>
      </c>
      <c r="J207" s="29" t="n">
        <v>333.7</v>
      </c>
      <c r="K207" s="29" t="n">
        <v>53.4</v>
      </c>
      <c r="L207" s="4" t="n">
        <v>15</v>
      </c>
      <c r="M207" s="4" t="n">
        <v>5</v>
      </c>
      <c r="N207" s="4" t="n">
        <v>446</v>
      </c>
      <c r="O207" s="4" t="n">
        <v>0</v>
      </c>
      <c r="P207" s="4" t="n">
        <v>0</v>
      </c>
      <c r="Q207" s="4" t="n">
        <v>0</v>
      </c>
      <c r="R207" s="4" t="n">
        <v>0</v>
      </c>
      <c r="S207" s="4">
        <f>SUM(O207:R207)</f>
        <v>0</v>
      </c>
      <c r="T207" s="18">
        <f>J207/L207</f>
        <v>22.2466666666667</v>
      </c>
      <c r="U207" s="18">
        <f>S207/G207*1000</f>
        <v>0</v>
      </c>
      <c r="V207" s="4">
        <f>Q207+R207</f>
        <v>0</v>
      </c>
      <c r="W207" s="29">
        <f>100*((J207-MIN($J$2:$J$236))/(MAX($J$2:$J$236)-MIN($J$2:$J$236))+(H207-MIN($H$2:$H$236))/(MAX($H$2:$H$236)-MIN($H$2:$H$236))+(1-(K207-MIN($K$2:$K$236))/(MAX($K$2:$K$236)-MIN($K$2:$K$236))))/3</f>
        <v>43.9028536412396</v>
      </c>
      <c r="X207" s="4" t="n">
        <v>0</v>
      </c>
      <c r="Y207" s="4" t="n">
        <v>1</v>
      </c>
      <c r="Z207" s="4" t="n">
        <v>0</v>
      </c>
      <c r="AA207" s="4" t="inlineStr">
        <is>
          <t>No</t>
        </is>
      </c>
      <c r="AB207" s="4" t="str">
        <f>IF(H207&lt;=Complexity!$C$11,"Q1 (lowest)",IF(H207&lt;=Complexity!$C$12,"Q2",IF(H207&lt;=Complexity!$C$13,"Q3","Q4 (highest)")))</f>
        <v>Q3</v>
      </c>
      <c r="AC207" s="4" t="str">
        <f>IF(J207&lt;=Churn!$C$11,"Q1 (lowest)",IF(J207&lt;=Churn!$C$12,"Q2",IF(J207&lt;=Churn!$C$13,"Q3","Q4 (highest)")))</f>
        <v>Q3</v>
      </c>
      <c r="AD207" s="4" t="str">
        <f>IF(K207&lt;=40,"&lt;=40%",IF(K207&lt;=60,"40-60%",IF(K207&lt;=80,"60-80%","80%+")))</f>
        <v>40-60%</v>
      </c>
      <c r="AE207" s="4" t="str">
        <f>IF(M207&lt;=2,"1-2",IF(M207&lt;=4,"3-4",IF(M207&lt;=6,"5-6","7+")))</f>
        <v>5-6</v>
      </c>
    </row>
    <row r="208">
      <c r="A208" s="4" t="inlineStr">
        <is>
          <t>ui_forms</t>
        </is>
      </c>
      <c r="B208" s="4" t="inlineStr">
        <is>
          <t>UI</t>
        </is>
      </c>
      <c r="C208" s="4" t="inlineStr">
        <is>
          <t>JavaScript</t>
        </is>
      </c>
      <c r="D208" s="4" t="inlineStr">
        <is>
          <t>v1.1</t>
        </is>
      </c>
      <c r="E208" s="40" t="n">
        <v>45432</v>
      </c>
      <c r="F208" s="4" t="n">
        <v>2</v>
      </c>
      <c r="G208" s="4" t="n">
        <v>1617</v>
      </c>
      <c r="H208" s="18" t="n">
        <v>19.56</v>
      </c>
      <c r="I208" s="18" t="n">
        <v>11.83</v>
      </c>
      <c r="J208" s="29" t="n">
        <v>891.5</v>
      </c>
      <c r="K208" s="29" t="n">
        <v>66.2</v>
      </c>
      <c r="L208" s="4" t="n">
        <v>39</v>
      </c>
      <c r="M208" s="4" t="n">
        <v>8</v>
      </c>
      <c r="N208" s="4" t="n">
        <v>1253</v>
      </c>
      <c r="O208" s="4" t="n">
        <v>1</v>
      </c>
      <c r="P208" s="4" t="n">
        <v>0</v>
      </c>
      <c r="Q208" s="4" t="n">
        <v>0</v>
      </c>
      <c r="R208" s="4" t="n">
        <v>0</v>
      </c>
      <c r="S208" s="4">
        <f>SUM(O208:R208)</f>
        <v>1</v>
      </c>
      <c r="T208" s="18">
        <f>J208/L208</f>
        <v>22.8589743589744</v>
      </c>
      <c r="U208" s="18">
        <f>S208/G208*1000</f>
        <v>0.618429189857761</v>
      </c>
      <c r="V208" s="4">
        <f>Q208+R208</f>
        <v>0</v>
      </c>
      <c r="W208" s="29">
        <f>100*((J208-MIN($J$2:$J$236))/(MAX($J$2:$J$236)-MIN($J$2:$J$236))+(H208-MIN($H$2:$H$236))/(MAX($H$2:$H$236)-MIN($H$2:$H$236))+(1-(K208-MIN($K$2:$K$236))/(MAX($K$2:$K$236)-MIN($K$2:$K$236))))/3</f>
        <v>56.6619299858025</v>
      </c>
      <c r="X208" s="4" t="n">
        <v>0</v>
      </c>
      <c r="Y208" s="4" t="n">
        <v>1</v>
      </c>
      <c r="Z208" s="4" t="n">
        <v>0</v>
      </c>
      <c r="AA208" s="4" t="inlineStr">
        <is>
          <t>No</t>
        </is>
      </c>
      <c r="AB208" s="4" t="str">
        <f>IF(H208&lt;=Complexity!$C$11,"Q1 (lowest)",IF(H208&lt;=Complexity!$C$12,"Q2",IF(H208&lt;=Complexity!$C$13,"Q3","Q4 (highest)")))</f>
        <v>Q4 (highest)</v>
      </c>
      <c r="AC208" s="4" t="str">
        <f>IF(J208&lt;=Churn!$C$11,"Q1 (lowest)",IF(J208&lt;=Churn!$C$12,"Q2",IF(J208&lt;=Churn!$C$13,"Q3","Q4 (highest)")))</f>
        <v>Q4 (highest)</v>
      </c>
      <c r="AD208" s="4" t="str">
        <f>IF(K208&lt;=40,"&lt;=40%",IF(K208&lt;=60,"40-60%",IF(K208&lt;=80,"60-80%","80%+")))</f>
        <v>60-80%</v>
      </c>
      <c r="AE208" s="4" t="str">
        <f>IF(M208&lt;=2,"1-2",IF(M208&lt;=4,"3-4",IF(M208&lt;=6,"5-6","7+")))</f>
        <v>7+</v>
      </c>
    </row>
    <row r="209">
      <c r="A209" s="4" t="inlineStr">
        <is>
          <t>ui_forms</t>
        </is>
      </c>
      <c r="B209" s="4" t="inlineStr">
        <is>
          <t>UI</t>
        </is>
      </c>
      <c r="C209" s="4" t="inlineStr">
        <is>
          <t>JavaScript</t>
        </is>
      </c>
      <c r="D209" s="4" t="inlineStr">
        <is>
          <t>v2.0</t>
        </is>
      </c>
      <c r="E209" s="40" t="n">
        <v>45545</v>
      </c>
      <c r="F209" s="4" t="n">
        <v>3</v>
      </c>
      <c r="G209" s="4" t="n">
        <v>1617</v>
      </c>
      <c r="H209" s="18" t="n">
        <v>11.35</v>
      </c>
      <c r="I209" s="18" t="n">
        <v>8.6</v>
      </c>
      <c r="J209" s="29" t="n">
        <v>149.7</v>
      </c>
      <c r="K209" s="29" t="n">
        <v>63.9</v>
      </c>
      <c r="L209" s="4" t="n">
        <v>7</v>
      </c>
      <c r="M209" s="4" t="n">
        <v>3</v>
      </c>
      <c r="N209" s="4" t="n">
        <v>205</v>
      </c>
      <c r="O209" s="4" t="n">
        <v>0</v>
      </c>
      <c r="P209" s="4" t="n">
        <v>0</v>
      </c>
      <c r="Q209" s="4" t="n">
        <v>1</v>
      </c>
      <c r="R209" s="4" t="n">
        <v>0</v>
      </c>
      <c r="S209" s="4">
        <f>SUM(O209:R209)</f>
        <v>1</v>
      </c>
      <c r="T209" s="18">
        <f>J209/L209</f>
        <v>21.3857142857143</v>
      </c>
      <c r="U209" s="18">
        <f>S209/G209*1000</f>
        <v>0.618429189857761</v>
      </c>
      <c r="V209" s="4">
        <f>Q209+R209</f>
        <v>1</v>
      </c>
      <c r="W209" s="29">
        <f>100*((J209-MIN($J$2:$J$236))/(MAX($J$2:$J$236)-MIN($J$2:$J$236))+(H209-MIN($H$2:$H$236))/(MAX($H$2:$H$236)-MIN($H$2:$H$236))+(1-(K209-MIN($K$2:$K$236))/(MAX($K$2:$K$236)-MIN($K$2:$K$236))))/3</f>
        <v>28.6557748766125</v>
      </c>
      <c r="X209" s="4" t="n">
        <v>1</v>
      </c>
      <c r="Y209" s="4" t="n">
        <v>1</v>
      </c>
      <c r="Z209" s="4" t="n">
        <v>0</v>
      </c>
      <c r="AA209" s="4" t="inlineStr">
        <is>
          <t>No</t>
        </is>
      </c>
      <c r="AB209" s="4" t="str">
        <f>IF(H209&lt;=Complexity!$C$11,"Q1 (lowest)",IF(H209&lt;=Complexity!$C$12,"Q2",IF(H209&lt;=Complexity!$C$13,"Q3","Q4 (highest)")))</f>
        <v>Q2</v>
      </c>
      <c r="AC209" s="4" t="str">
        <f>IF(J209&lt;=Churn!$C$11,"Q1 (lowest)",IF(J209&lt;=Churn!$C$12,"Q2",IF(J209&lt;=Churn!$C$13,"Q3","Q4 (highest)")))</f>
        <v>Q1 (lowest)</v>
      </c>
      <c r="AD209" s="4" t="str">
        <f>IF(K209&lt;=40,"&lt;=40%",IF(K209&lt;=60,"40-60%",IF(K209&lt;=80,"60-80%","80%+")))</f>
        <v>60-80%</v>
      </c>
      <c r="AE209" s="4" t="str">
        <f>IF(M209&lt;=2,"1-2",IF(M209&lt;=4,"3-4",IF(M209&lt;=6,"5-6","7+")))</f>
        <v>3-4</v>
      </c>
    </row>
    <row r="210">
      <c r="A210" s="4" t="inlineStr">
        <is>
          <t>ui_forms</t>
        </is>
      </c>
      <c r="B210" s="4" t="inlineStr">
        <is>
          <t>UI</t>
        </is>
      </c>
      <c r="C210" s="4" t="inlineStr">
        <is>
          <t>JavaScript</t>
        </is>
      </c>
      <c r="D210" s="4" t="inlineStr">
        <is>
          <t>v2.1</t>
        </is>
      </c>
      <c r="E210" s="40" t="n">
        <v>45706</v>
      </c>
      <c r="F210" s="4" t="n">
        <v>4</v>
      </c>
      <c r="G210" s="4" t="n">
        <v>1617</v>
      </c>
      <c r="H210" s="18" t="n">
        <v>12.32</v>
      </c>
      <c r="I210" s="18" t="n">
        <v>11.75</v>
      </c>
      <c r="J210" s="29" t="n">
        <v>193.8</v>
      </c>
      <c r="K210" s="29" t="n">
        <v>66.40000000000001</v>
      </c>
      <c r="L210" s="4" t="n">
        <v>4</v>
      </c>
      <c r="M210" s="4" t="n">
        <v>2</v>
      </c>
      <c r="N210" s="4" t="n">
        <v>237</v>
      </c>
      <c r="O210" s="4" t="n">
        <v>1</v>
      </c>
      <c r="P210" s="4" t="n">
        <v>0</v>
      </c>
      <c r="Q210" s="4" t="n">
        <v>0</v>
      </c>
      <c r="R210" s="4" t="n">
        <v>0</v>
      </c>
      <c r="S210" s="4">
        <f>SUM(O210:R210)</f>
        <v>1</v>
      </c>
      <c r="T210" s="18">
        <f>J210/L210</f>
        <v>48.45</v>
      </c>
      <c r="U210" s="18">
        <f>S210/G210*1000</f>
        <v>0.618429189857761</v>
      </c>
      <c r="V210" s="4">
        <f>Q210+R210</f>
        <v>0</v>
      </c>
      <c r="W210" s="29">
        <f>100*((J210-MIN($J$2:$J$236))/(MAX($J$2:$J$236)-MIN($J$2:$J$236))+(H210-MIN($H$2:$H$236))/(MAX($H$2:$H$236)-MIN($H$2:$H$236))+(1-(K210-MIN($K$2:$K$236))/(MAX($K$2:$K$236)-MIN($K$2:$K$236))))/3</f>
        <v>29.7546878844029</v>
      </c>
      <c r="X210" s="4" t="n">
        <v>1</v>
      </c>
      <c r="Y210" s="4" t="n">
        <v>1</v>
      </c>
      <c r="Z210" s="4" t="n">
        <v>0</v>
      </c>
      <c r="AA210" s="4" t="inlineStr">
        <is>
          <t>No</t>
        </is>
      </c>
      <c r="AB210" s="4" t="str">
        <f>IF(H210&lt;=Complexity!$C$11,"Q1 (lowest)",IF(H210&lt;=Complexity!$C$12,"Q2",IF(H210&lt;=Complexity!$C$13,"Q3","Q4 (highest)")))</f>
        <v>Q2</v>
      </c>
      <c r="AC210" s="4" t="str">
        <f>IF(J210&lt;=Churn!$C$11,"Q1 (lowest)",IF(J210&lt;=Churn!$C$12,"Q2",IF(J210&lt;=Churn!$C$13,"Q3","Q4 (highest)")))</f>
        <v>Q2</v>
      </c>
      <c r="AD210" s="4" t="str">
        <f>IF(K210&lt;=40,"&lt;=40%",IF(K210&lt;=60,"40-60%",IF(K210&lt;=80,"60-80%","80%+")))</f>
        <v>60-80%</v>
      </c>
      <c r="AE210" s="4" t="str">
        <f>IF(M210&lt;=2,"1-2",IF(M210&lt;=4,"3-4",IF(M210&lt;=6,"5-6","7+")))</f>
        <v>1-2</v>
      </c>
    </row>
    <row r="211">
      <c r="A211" s="4" t="inlineStr">
        <is>
          <t>ui_forms</t>
        </is>
      </c>
      <c r="B211" s="4" t="inlineStr">
        <is>
          <t>UI</t>
        </is>
      </c>
      <c r="C211" s="4" t="inlineStr">
        <is>
          <t>JavaScript</t>
        </is>
      </c>
      <c r="D211" s="4" t="inlineStr">
        <is>
          <t>v3.0</t>
        </is>
      </c>
      <c r="E211" s="40" t="n">
        <v>45839</v>
      </c>
      <c r="F211" s="4" t="n">
        <v>5</v>
      </c>
      <c r="G211" s="4" t="n">
        <v>1617</v>
      </c>
      <c r="H211" s="18" t="n">
        <v>17.34</v>
      </c>
      <c r="I211" s="18" t="n">
        <v>9</v>
      </c>
      <c r="J211" s="29" t="n">
        <v>323</v>
      </c>
      <c r="K211" s="29" t="n">
        <v>67.40000000000001</v>
      </c>
      <c r="L211" s="4" t="n">
        <v>10</v>
      </c>
      <c r="M211" s="4" t="n">
        <v>4</v>
      </c>
      <c r="N211" s="4" t="n">
        <v>423</v>
      </c>
      <c r="O211" s="4" t="n">
        <v>1</v>
      </c>
      <c r="P211" s="4" t="n">
        <v>0</v>
      </c>
      <c r="Q211" s="4" t="n">
        <v>0</v>
      </c>
      <c r="R211" s="4" t="n">
        <v>0</v>
      </c>
      <c r="S211" s="4">
        <f>SUM(O211:R211)</f>
        <v>1</v>
      </c>
      <c r="T211" s="18">
        <f>J211/L211</f>
        <v>32.3</v>
      </c>
      <c r="U211" s="18">
        <f>S211/G211*1000</f>
        <v>0.618429189857761</v>
      </c>
      <c r="V211" s="4">
        <f>Q211+R211</f>
        <v>0</v>
      </c>
      <c r="W211" s="29">
        <f>100*((J211-MIN($J$2:$J$236))/(MAX($J$2:$J$236)-MIN($J$2:$J$236))+(H211-MIN($H$2:$H$236))/(MAX($H$2:$H$236)-MIN($H$2:$H$236))+(1-(K211-MIN($K$2:$K$236))/(MAX($K$2:$K$236)-MIN($K$2:$K$236))))/3</f>
        <v>38.1703192299406</v>
      </c>
      <c r="X211" s="4" t="n">
        <v>1</v>
      </c>
      <c r="Y211" s="4" t="n">
        <v>1</v>
      </c>
      <c r="Z211" s="4" t="n">
        <v>0</v>
      </c>
      <c r="AA211" s="4" t="inlineStr">
        <is>
          <t>No</t>
        </is>
      </c>
      <c r="AB211" s="4" t="str">
        <f>IF(H211&lt;=Complexity!$C$11,"Q1 (lowest)",IF(H211&lt;=Complexity!$C$12,"Q2",IF(H211&lt;=Complexity!$C$13,"Q3","Q4 (highest)")))</f>
        <v>Q3</v>
      </c>
      <c r="AC211" s="4" t="str">
        <f>IF(J211&lt;=Churn!$C$11,"Q1 (lowest)",IF(J211&lt;=Churn!$C$12,"Q2",IF(J211&lt;=Churn!$C$13,"Q3","Q4 (highest)")))</f>
        <v>Q3</v>
      </c>
      <c r="AD211" s="4" t="str">
        <f>IF(K211&lt;=40,"&lt;=40%",IF(K211&lt;=60,"40-60%",IF(K211&lt;=80,"60-80%","80%+")))</f>
        <v>60-80%</v>
      </c>
      <c r="AE211" s="4" t="str">
        <f>IF(M211&lt;=2,"1-2",IF(M211&lt;=4,"3-4",IF(M211&lt;=6,"5-6","7+")))</f>
        <v>3-4</v>
      </c>
    </row>
    <row r="212">
      <c r="A212" s="4" t="inlineStr">
        <is>
          <t>ui_navbar</t>
        </is>
      </c>
      <c r="B212" s="4" t="inlineStr">
        <is>
          <t>UI</t>
        </is>
      </c>
      <c r="C212" s="4" t="inlineStr">
        <is>
          <t>JavaScript</t>
        </is>
      </c>
      <c r="D212" s="4" t="inlineStr">
        <is>
          <t>v1.0</t>
        </is>
      </c>
      <c r="E212" s="40" t="n">
        <v>45306</v>
      </c>
      <c r="F212" s="4" t="n">
        <v>1</v>
      </c>
      <c r="G212" s="4" t="n">
        <v>2750</v>
      </c>
      <c r="H212" s="18" t="n">
        <v>21.63</v>
      </c>
      <c r="I212" s="18" t="n">
        <v>15.27</v>
      </c>
      <c r="J212" s="29" t="n">
        <v>282</v>
      </c>
      <c r="K212" s="29" t="n">
        <v>71.59999999999999</v>
      </c>
      <c r="L212" s="4" t="n">
        <v>8</v>
      </c>
      <c r="M212" s="4" t="n">
        <v>3</v>
      </c>
      <c r="N212" s="4" t="n">
        <v>390</v>
      </c>
      <c r="O212" s="4" t="n">
        <v>0</v>
      </c>
      <c r="P212" s="4" t="n">
        <v>0</v>
      </c>
      <c r="Q212" s="4" t="n">
        <v>0</v>
      </c>
      <c r="R212" s="4" t="n">
        <v>0</v>
      </c>
      <c r="S212" s="4">
        <f>SUM(O212:R212)</f>
        <v>0</v>
      </c>
      <c r="T212" s="18">
        <f>J212/L212</f>
        <v>35.25</v>
      </c>
      <c r="U212" s="18">
        <f>S212/G212*1000</f>
        <v>0</v>
      </c>
      <c r="V212" s="4">
        <f>Q212+R212</f>
        <v>0</v>
      </c>
      <c r="W212" s="29">
        <f>100*((J212-MIN($J$2:$J$236))/(MAX($J$2:$J$236)-MIN($J$2:$J$236))+(H212-MIN($H$2:$H$236))/(MAX($H$2:$H$236)-MIN($H$2:$H$236))+(1-(K212-MIN($K$2:$K$236))/(MAX($K$2:$K$236)-MIN($K$2:$K$236))))/3</f>
        <v>39.685093822784</v>
      </c>
      <c r="X212" s="4" t="n">
        <v>0</v>
      </c>
      <c r="Y212" s="4" t="n">
        <v>0</v>
      </c>
      <c r="Z212" s="4" t="n">
        <v>0</v>
      </c>
      <c r="AA212" s="4" t="inlineStr">
        <is>
          <t>No</t>
        </is>
      </c>
      <c r="AB212" s="4" t="str">
        <f>IF(H212&lt;=Complexity!$C$11,"Q1 (lowest)",IF(H212&lt;=Complexity!$C$12,"Q2",IF(H212&lt;=Complexity!$C$13,"Q3","Q4 (highest)")))</f>
        <v>Q4 (highest)</v>
      </c>
      <c r="AC212" s="4" t="str">
        <f>IF(J212&lt;=Churn!$C$11,"Q1 (lowest)",IF(J212&lt;=Churn!$C$12,"Q2",IF(J212&lt;=Churn!$C$13,"Q3","Q4 (highest)")))</f>
        <v>Q2</v>
      </c>
      <c r="AD212" s="4" t="str">
        <f>IF(K212&lt;=40,"&lt;=40%",IF(K212&lt;=60,"40-60%",IF(K212&lt;=80,"60-80%","80%+")))</f>
        <v>60-80%</v>
      </c>
      <c r="AE212" s="4" t="str">
        <f>IF(M212&lt;=2,"1-2",IF(M212&lt;=4,"3-4",IF(M212&lt;=6,"5-6","7+")))</f>
        <v>3-4</v>
      </c>
    </row>
    <row r="213">
      <c r="A213" s="4" t="inlineStr">
        <is>
          <t>ui_navbar</t>
        </is>
      </c>
      <c r="B213" s="4" t="inlineStr">
        <is>
          <t>UI</t>
        </is>
      </c>
      <c r="C213" s="4" t="inlineStr">
        <is>
          <t>JavaScript</t>
        </is>
      </c>
      <c r="D213" s="4" t="inlineStr">
        <is>
          <t>v1.1</t>
        </is>
      </c>
      <c r="E213" s="40" t="n">
        <v>45432</v>
      </c>
      <c r="F213" s="4" t="n">
        <v>2</v>
      </c>
      <c r="G213" s="4" t="n">
        <v>2750</v>
      </c>
      <c r="H213" s="18" t="n">
        <v>20.58</v>
      </c>
      <c r="I213" s="18" t="n">
        <v>13.94</v>
      </c>
      <c r="J213" s="29" t="n">
        <v>397.2</v>
      </c>
      <c r="K213" s="29" t="n">
        <v>71.2</v>
      </c>
      <c r="L213" s="4" t="n">
        <v>21</v>
      </c>
      <c r="M213" s="4" t="n">
        <v>4</v>
      </c>
      <c r="N213" s="4" t="n">
        <v>491</v>
      </c>
      <c r="O213" s="4" t="n">
        <v>2</v>
      </c>
      <c r="P213" s="4" t="n">
        <v>0</v>
      </c>
      <c r="Q213" s="4" t="n">
        <v>0</v>
      </c>
      <c r="R213" s="4" t="n">
        <v>0</v>
      </c>
      <c r="S213" s="4">
        <f>SUM(O213:R213)</f>
        <v>2</v>
      </c>
      <c r="T213" s="18">
        <f>J213/L213</f>
        <v>18.9142857142857</v>
      </c>
      <c r="U213" s="18">
        <f>S213/G213*1000</f>
        <v>0.727272727272727</v>
      </c>
      <c r="V213" s="4">
        <f>Q213+R213</f>
        <v>0</v>
      </c>
      <c r="W213" s="29">
        <f>100*((J213-MIN($J$2:$J$236))/(MAX($J$2:$J$236)-MIN($J$2:$J$236))+(H213-MIN($H$2:$H$236))/(MAX($H$2:$H$236)-MIN($H$2:$H$236))+(1-(K213-MIN($K$2:$K$236))/(MAX($K$2:$K$236)-MIN($K$2:$K$236))))/3</f>
        <v>41.9115166970378</v>
      </c>
      <c r="X213" s="4" t="n">
        <v>0</v>
      </c>
      <c r="Y213" s="4" t="n">
        <v>0</v>
      </c>
      <c r="Z213" s="4" t="n">
        <v>0</v>
      </c>
      <c r="AA213" s="4" t="inlineStr">
        <is>
          <t>No</t>
        </is>
      </c>
      <c r="AB213" s="4" t="str">
        <f>IF(H213&lt;=Complexity!$C$11,"Q1 (lowest)",IF(H213&lt;=Complexity!$C$12,"Q2",IF(H213&lt;=Complexity!$C$13,"Q3","Q4 (highest)")))</f>
        <v>Q4 (highest)</v>
      </c>
      <c r="AC213" s="4" t="str">
        <f>IF(J213&lt;=Churn!$C$11,"Q1 (lowest)",IF(J213&lt;=Churn!$C$12,"Q2",IF(J213&lt;=Churn!$C$13,"Q3","Q4 (highest)")))</f>
        <v>Q3</v>
      </c>
      <c r="AD213" s="4" t="str">
        <f>IF(K213&lt;=40,"&lt;=40%",IF(K213&lt;=60,"40-60%",IF(K213&lt;=80,"60-80%","80%+")))</f>
        <v>60-80%</v>
      </c>
      <c r="AE213" s="4" t="str">
        <f>IF(M213&lt;=2,"1-2",IF(M213&lt;=4,"3-4",IF(M213&lt;=6,"5-6","7+")))</f>
        <v>3-4</v>
      </c>
    </row>
    <row r="214">
      <c r="A214" s="4" t="inlineStr">
        <is>
          <t>ui_navbar</t>
        </is>
      </c>
      <c r="B214" s="4" t="inlineStr">
        <is>
          <t>UI</t>
        </is>
      </c>
      <c r="C214" s="4" t="inlineStr">
        <is>
          <t>JavaScript</t>
        </is>
      </c>
      <c r="D214" s="4" t="inlineStr">
        <is>
          <t>v2.0</t>
        </is>
      </c>
      <c r="E214" s="40" t="n">
        <v>45545</v>
      </c>
      <c r="F214" s="4" t="n">
        <v>3</v>
      </c>
      <c r="G214" s="4" t="n">
        <v>2750</v>
      </c>
      <c r="H214" s="18" t="n">
        <v>17.51</v>
      </c>
      <c r="I214" s="18" t="n">
        <v>13.4</v>
      </c>
      <c r="J214" s="29" t="n">
        <v>214.6</v>
      </c>
      <c r="K214" s="29" t="n">
        <v>70.40000000000001</v>
      </c>
      <c r="L214" s="4" t="n">
        <v>6</v>
      </c>
      <c r="M214" s="4" t="n">
        <v>3</v>
      </c>
      <c r="N214" s="4" t="n">
        <v>266</v>
      </c>
      <c r="O214" s="4" t="n">
        <v>0</v>
      </c>
      <c r="P214" s="4" t="n">
        <v>0</v>
      </c>
      <c r="Q214" s="4" t="n">
        <v>0</v>
      </c>
      <c r="R214" s="4" t="n">
        <v>0</v>
      </c>
      <c r="S214" s="4">
        <f>SUM(O214:R214)</f>
        <v>0</v>
      </c>
      <c r="T214" s="18">
        <f>J214/L214</f>
        <v>35.7666666666667</v>
      </c>
      <c r="U214" s="18">
        <f>S214/G214*1000</f>
        <v>0</v>
      </c>
      <c r="V214" s="4">
        <f>Q214+R214</f>
        <v>0</v>
      </c>
      <c r="W214" s="29">
        <f>100*((J214-MIN($J$2:$J$236))/(MAX($J$2:$J$236)-MIN($J$2:$J$236))+(H214-MIN($H$2:$H$236))/(MAX($H$2:$H$236)-MIN($H$2:$H$236))+(1-(K214-MIN($K$2:$K$236))/(MAX($K$2:$K$236)-MIN($K$2:$K$236))))/3</f>
        <v>34.0105727580055</v>
      </c>
      <c r="X214" s="4" t="n">
        <v>2</v>
      </c>
      <c r="Y214" s="4" t="n">
        <v>0</v>
      </c>
      <c r="Z214" s="4" t="n">
        <v>0</v>
      </c>
      <c r="AA214" s="4" t="inlineStr">
        <is>
          <t>No</t>
        </is>
      </c>
      <c r="AB214" s="4" t="str">
        <f>IF(H214&lt;=Complexity!$C$11,"Q1 (lowest)",IF(H214&lt;=Complexity!$C$12,"Q2",IF(H214&lt;=Complexity!$C$13,"Q3","Q4 (highest)")))</f>
        <v>Q3</v>
      </c>
      <c r="AC214" s="4" t="str">
        <f>IF(J214&lt;=Churn!$C$11,"Q1 (lowest)",IF(J214&lt;=Churn!$C$12,"Q2",IF(J214&lt;=Churn!$C$13,"Q3","Q4 (highest)")))</f>
        <v>Q2</v>
      </c>
      <c r="AD214" s="4" t="str">
        <f>IF(K214&lt;=40,"&lt;=40%",IF(K214&lt;=60,"40-60%",IF(K214&lt;=80,"60-80%","80%+")))</f>
        <v>60-80%</v>
      </c>
      <c r="AE214" s="4" t="str">
        <f>IF(M214&lt;=2,"1-2",IF(M214&lt;=4,"3-4",IF(M214&lt;=6,"5-6","7+")))</f>
        <v>3-4</v>
      </c>
    </row>
    <row r="215">
      <c r="A215" s="4" t="inlineStr">
        <is>
          <t>ui_navbar</t>
        </is>
      </c>
      <c r="B215" s="4" t="inlineStr">
        <is>
          <t>UI</t>
        </is>
      </c>
      <c r="C215" s="4" t="inlineStr">
        <is>
          <t>JavaScript</t>
        </is>
      </c>
      <c r="D215" s="4" t="inlineStr">
        <is>
          <t>v2.1</t>
        </is>
      </c>
      <c r="E215" s="40" t="n">
        <v>45706</v>
      </c>
      <c r="F215" s="4" t="n">
        <v>4</v>
      </c>
      <c r="G215" s="4" t="n">
        <v>2750</v>
      </c>
      <c r="H215" s="18" t="n">
        <v>14.25</v>
      </c>
      <c r="I215" s="18" t="n">
        <v>9.68</v>
      </c>
      <c r="J215" s="29" t="n">
        <v>33.7</v>
      </c>
      <c r="K215" s="29" t="n">
        <v>66.7</v>
      </c>
      <c r="L215" s="4" t="n">
        <v>1</v>
      </c>
      <c r="M215" s="4" t="n">
        <v>1</v>
      </c>
      <c r="N215" s="4" t="n">
        <v>46</v>
      </c>
      <c r="O215" s="4" t="n">
        <v>0</v>
      </c>
      <c r="P215" s="4" t="n">
        <v>0</v>
      </c>
      <c r="Q215" s="4" t="n">
        <v>0</v>
      </c>
      <c r="R215" s="4" t="n">
        <v>0</v>
      </c>
      <c r="S215" s="4">
        <f>SUM(O215:R215)</f>
        <v>0</v>
      </c>
      <c r="T215" s="18">
        <f>J215/L215</f>
        <v>33.7</v>
      </c>
      <c r="U215" s="18">
        <f>S215/G215*1000</f>
        <v>0</v>
      </c>
      <c r="V215" s="4">
        <f>Q215+R215</f>
        <v>0</v>
      </c>
      <c r="W215" s="29">
        <f>100*((J215-MIN($J$2:$J$236))/(MAX($J$2:$J$236)-MIN($J$2:$J$236))+(H215-MIN($H$2:$H$236))/(MAX($H$2:$H$236)-MIN($H$2:$H$236))+(1-(K215-MIN($K$2:$K$236))/(MAX($K$2:$K$236)-MIN($K$2:$K$236))))/3</f>
        <v>27.2769321030145</v>
      </c>
      <c r="X215" s="4" t="n">
        <v>0</v>
      </c>
      <c r="Y215" s="4" t="n">
        <v>0</v>
      </c>
      <c r="Z215" s="4" t="n">
        <v>0</v>
      </c>
      <c r="AA215" s="4" t="inlineStr">
        <is>
          <t>No</t>
        </is>
      </c>
      <c r="AB215" s="4" t="str">
        <f>IF(H215&lt;=Complexity!$C$11,"Q1 (lowest)",IF(H215&lt;=Complexity!$C$12,"Q2",IF(H215&lt;=Complexity!$C$13,"Q3","Q4 (highest)")))</f>
        <v>Q2</v>
      </c>
      <c r="AC215" s="4" t="str">
        <f>IF(J215&lt;=Churn!$C$11,"Q1 (lowest)",IF(J215&lt;=Churn!$C$12,"Q2",IF(J215&lt;=Churn!$C$13,"Q3","Q4 (highest)")))</f>
        <v>Q1 (lowest)</v>
      </c>
      <c r="AD215" s="4" t="str">
        <f>IF(K215&lt;=40,"&lt;=40%",IF(K215&lt;=60,"40-60%",IF(K215&lt;=80,"60-80%","80%+")))</f>
        <v>60-80%</v>
      </c>
      <c r="AE215" s="4" t="str">
        <f>IF(M215&lt;=2,"1-2",IF(M215&lt;=4,"3-4",IF(M215&lt;=6,"5-6","7+")))</f>
        <v>1-2</v>
      </c>
    </row>
    <row r="216">
      <c r="A216" s="4" t="inlineStr">
        <is>
          <t>ui_navbar</t>
        </is>
      </c>
      <c r="B216" s="4" t="inlineStr">
        <is>
          <t>UI</t>
        </is>
      </c>
      <c r="C216" s="4" t="inlineStr">
        <is>
          <t>JavaScript</t>
        </is>
      </c>
      <c r="D216" s="4" t="inlineStr">
        <is>
          <t>v3.0</t>
        </is>
      </c>
      <c r="E216" s="40" t="n">
        <v>45839</v>
      </c>
      <c r="F216" s="4" t="n">
        <v>5</v>
      </c>
      <c r="G216" s="4" t="n">
        <v>2750</v>
      </c>
      <c r="H216" s="18" t="n">
        <v>22.03</v>
      </c>
      <c r="I216" s="18" t="n">
        <v>12.86</v>
      </c>
      <c r="J216" s="29" t="n">
        <v>259.8</v>
      </c>
      <c r="K216" s="29" t="n">
        <v>63.3</v>
      </c>
      <c r="L216" s="4" t="n">
        <v>6</v>
      </c>
      <c r="M216" s="4" t="n">
        <v>3</v>
      </c>
      <c r="N216" s="4" t="n">
        <v>344</v>
      </c>
      <c r="O216" s="4" t="n">
        <v>1</v>
      </c>
      <c r="P216" s="4" t="n">
        <v>0</v>
      </c>
      <c r="Q216" s="4" t="n">
        <v>0</v>
      </c>
      <c r="R216" s="4" t="n">
        <v>0</v>
      </c>
      <c r="S216" s="4">
        <f>SUM(O216:R216)</f>
        <v>1</v>
      </c>
      <c r="T216" s="18">
        <f>J216/L216</f>
        <v>43.3</v>
      </c>
      <c r="U216" s="18">
        <f>S216/G216*1000</f>
        <v>0.363636363636364</v>
      </c>
      <c r="V216" s="4">
        <f>Q216+R216</f>
        <v>0</v>
      </c>
      <c r="W216" s="29">
        <f>100*((J216-MIN($J$2:$J$236))/(MAX($J$2:$J$236)-MIN($J$2:$J$236))+(H216-MIN($H$2:$H$236))/(MAX($H$2:$H$236)-MIN($H$2:$H$236))+(1-(K216-MIN($K$2:$K$236))/(MAX($K$2:$K$236)-MIN($K$2:$K$236))))/3</f>
        <v>43.2857891897641</v>
      </c>
      <c r="X216" s="4" t="n">
        <v>0</v>
      </c>
      <c r="Y216" s="4" t="n">
        <v>0</v>
      </c>
      <c r="Z216" s="4" t="n">
        <v>0</v>
      </c>
      <c r="AA216" s="4" t="inlineStr">
        <is>
          <t>No</t>
        </is>
      </c>
      <c r="AB216" s="4" t="str">
        <f>IF(H216&lt;=Complexity!$C$11,"Q1 (lowest)",IF(H216&lt;=Complexity!$C$12,"Q2",IF(H216&lt;=Complexity!$C$13,"Q3","Q4 (highest)")))</f>
        <v>Q4 (highest)</v>
      </c>
      <c r="AC216" s="4" t="str">
        <f>IF(J216&lt;=Churn!$C$11,"Q1 (lowest)",IF(J216&lt;=Churn!$C$12,"Q2",IF(J216&lt;=Churn!$C$13,"Q3","Q4 (highest)")))</f>
        <v>Q2</v>
      </c>
      <c r="AD216" s="4" t="str">
        <f>IF(K216&lt;=40,"&lt;=40%",IF(K216&lt;=60,"40-60%",IF(K216&lt;=80,"60-80%","80%+")))</f>
        <v>60-80%</v>
      </c>
      <c r="AE216" s="4" t="str">
        <f>IF(M216&lt;=2,"1-2",IF(M216&lt;=4,"3-4",IF(M216&lt;=6,"5-6","7+")))</f>
        <v>3-4</v>
      </c>
    </row>
    <row r="217">
      <c r="A217" s="4" t="inlineStr">
        <is>
          <t>ui_notifications</t>
        </is>
      </c>
      <c r="B217" s="4" t="inlineStr">
        <is>
          <t>UI</t>
        </is>
      </c>
      <c r="C217" s="4" t="inlineStr">
        <is>
          <t>JavaScript</t>
        </is>
      </c>
      <c r="D217" s="4" t="inlineStr">
        <is>
          <t>v1.0</t>
        </is>
      </c>
      <c r="E217" s="40" t="n">
        <v>45306</v>
      </c>
      <c r="F217" s="4" t="n">
        <v>1</v>
      </c>
      <c r="G217" s="4" t="n">
        <v>7222</v>
      </c>
      <c r="H217" s="18" t="n">
        <v>8.359999999999999</v>
      </c>
      <c r="I217" s="18" t="n">
        <v>5.37</v>
      </c>
      <c r="J217" s="29" t="n">
        <v>1028.3</v>
      </c>
      <c r="K217" s="29" t="n">
        <v>36</v>
      </c>
      <c r="L217" s="4" t="n">
        <v>34</v>
      </c>
      <c r="M217" s="4" t="n">
        <v>8</v>
      </c>
      <c r="N217" s="4" t="n">
        <v>1162</v>
      </c>
      <c r="O217" s="4" t="n">
        <v>5</v>
      </c>
      <c r="P217" s="4" t="n">
        <v>3</v>
      </c>
      <c r="Q217" s="4" t="n">
        <v>2</v>
      </c>
      <c r="R217" s="4" t="n">
        <v>0</v>
      </c>
      <c r="S217" s="4">
        <f>SUM(O217:R217)</f>
        <v>10</v>
      </c>
      <c r="T217" s="18">
        <f>J217/L217</f>
        <v>30.2441176470588</v>
      </c>
      <c r="U217" s="18">
        <f>S217/G217*1000</f>
        <v>1.3846579894766</v>
      </c>
      <c r="V217" s="4">
        <f>Q217+R217</f>
        <v>2</v>
      </c>
      <c r="W217" s="29">
        <f>100*((J217-MIN($J$2:$J$236))/(MAX($J$2:$J$236)-MIN($J$2:$J$236))+(H217-MIN($H$2:$H$236))/(MAX($H$2:$H$236)-MIN($H$2:$H$236))+(1-(K217-MIN($K$2:$K$236))/(MAX($K$2:$K$236)-MIN($K$2:$K$236))))/3</f>
        <v>62.2943486068893</v>
      </c>
      <c r="X217" s="4" t="n">
        <v>0</v>
      </c>
      <c r="Y217" s="4" t="n">
        <v>1</v>
      </c>
      <c r="Z217" s="4" t="n">
        <v>1</v>
      </c>
      <c r="AA217" s="4" t="inlineStr">
        <is>
          <t>No</t>
        </is>
      </c>
      <c r="AB217" s="4" t="str">
        <f>IF(H217&lt;=Complexity!$C$11,"Q1 (lowest)",IF(H217&lt;=Complexity!$C$12,"Q2",IF(H217&lt;=Complexity!$C$13,"Q3","Q4 (highest)")))</f>
        <v>Q1 (lowest)</v>
      </c>
      <c r="AC217" s="4" t="str">
        <f>IF(J217&lt;=Churn!$C$11,"Q1 (lowest)",IF(J217&lt;=Churn!$C$12,"Q2",IF(J217&lt;=Churn!$C$13,"Q3","Q4 (highest)")))</f>
        <v>Q4 (highest)</v>
      </c>
      <c r="AD217" s="4" t="str">
        <f>IF(K217&lt;=40,"&lt;=40%",IF(K217&lt;=60,"40-60%",IF(K217&lt;=80,"60-80%","80%+")))</f>
        <v>&lt;=40%</v>
      </c>
      <c r="AE217" s="4" t="str">
        <f>IF(M217&lt;=2,"1-2",IF(M217&lt;=4,"3-4",IF(M217&lt;=6,"5-6","7+")))</f>
        <v>7+</v>
      </c>
    </row>
    <row r="218">
      <c r="A218" s="4" t="inlineStr">
        <is>
          <t>ui_notifications</t>
        </is>
      </c>
      <c r="B218" s="4" t="inlineStr">
        <is>
          <t>UI</t>
        </is>
      </c>
      <c r="C218" s="4" t="inlineStr">
        <is>
          <t>JavaScript</t>
        </is>
      </c>
      <c r="D218" s="4" t="inlineStr">
        <is>
          <t>v1.1</t>
        </is>
      </c>
      <c r="E218" s="40" t="n">
        <v>45432</v>
      </c>
      <c r="F218" s="4" t="n">
        <v>2</v>
      </c>
      <c r="G218" s="4" t="n">
        <v>7222</v>
      </c>
      <c r="H218" s="18" t="n">
        <v>16.09</v>
      </c>
      <c r="I218" s="18" t="n">
        <v>10.565</v>
      </c>
      <c r="J218" s="29" t="n">
        <v>476.5</v>
      </c>
      <c r="K218" s="29" t="n">
        <v>32</v>
      </c>
      <c r="L218" s="4" t="n">
        <v>23</v>
      </c>
      <c r="M218" s="4" t="n">
        <v>6</v>
      </c>
      <c r="N218" s="4" t="n">
        <v>720</v>
      </c>
      <c r="O218" s="4" t="n">
        <v>1</v>
      </c>
      <c r="P218" s="4" t="n">
        <v>2</v>
      </c>
      <c r="Q218" s="4" t="n">
        <v>3</v>
      </c>
      <c r="R218" s="4" t="n">
        <v>0</v>
      </c>
      <c r="S218" s="4">
        <f>SUM(O218:R218)</f>
        <v>6</v>
      </c>
      <c r="T218" s="18">
        <f>J218/L218</f>
        <v>20.7173913043478</v>
      </c>
      <c r="U218" s="18">
        <f>S218/G218*1000</f>
        <v>0.83079479368596</v>
      </c>
      <c r="V218" s="4">
        <f>Q218+R218</f>
        <v>3</v>
      </c>
      <c r="W218" s="29">
        <f>100*((J218-MIN($J$2:$J$236))/(MAX($J$2:$J$236)-MIN($J$2:$J$236))+(H218-MIN($H$2:$H$236))/(MAX($H$2:$H$236)-MIN($H$2:$H$236))+(1-(K218-MIN($K$2:$K$236))/(MAX($K$2:$K$236)-MIN($K$2:$K$236))))/3</f>
        <v>57.1944496339595</v>
      </c>
      <c r="X218" s="4" t="n">
        <v>10</v>
      </c>
      <c r="Y218" s="4" t="n">
        <v>1</v>
      </c>
      <c r="Z218" s="4" t="n">
        <v>1</v>
      </c>
      <c r="AA218" s="4" t="inlineStr">
        <is>
          <t>No</t>
        </is>
      </c>
      <c r="AB218" s="4" t="str">
        <f>IF(H218&lt;=Complexity!$C$11,"Q1 (lowest)",IF(H218&lt;=Complexity!$C$12,"Q2",IF(H218&lt;=Complexity!$C$13,"Q3","Q4 (highest)")))</f>
        <v>Q3</v>
      </c>
      <c r="AC218" s="4" t="str">
        <f>IF(J218&lt;=Churn!$C$11,"Q1 (lowest)",IF(J218&lt;=Churn!$C$12,"Q2",IF(J218&lt;=Churn!$C$13,"Q3","Q4 (highest)")))</f>
        <v>Q4 (highest)</v>
      </c>
      <c r="AD218" s="4" t="str">
        <f>IF(K218&lt;=40,"&lt;=40%",IF(K218&lt;=60,"40-60%",IF(K218&lt;=80,"60-80%","80%+")))</f>
        <v>&lt;=40%</v>
      </c>
      <c r="AE218" s="4" t="str">
        <f>IF(M218&lt;=2,"1-2",IF(M218&lt;=4,"3-4",IF(M218&lt;=6,"5-6","7+")))</f>
        <v>5-6</v>
      </c>
    </row>
    <row r="219">
      <c r="A219" s="4" t="inlineStr">
        <is>
          <t>ui_notifications</t>
        </is>
      </c>
      <c r="B219" s="4" t="inlineStr">
        <is>
          <t>UI</t>
        </is>
      </c>
      <c r="C219" s="4" t="inlineStr">
        <is>
          <t>JavaScript</t>
        </is>
      </c>
      <c r="D219" s="4" t="inlineStr">
        <is>
          <t>v2.0</t>
        </is>
      </c>
      <c r="E219" s="40" t="n">
        <v>45545</v>
      </c>
      <c r="F219" s="4" t="n">
        <v>3</v>
      </c>
      <c r="G219" s="4" t="n">
        <v>7222</v>
      </c>
      <c r="H219" s="18" t="n">
        <v>10.43</v>
      </c>
      <c r="I219" s="18" t="n">
        <v>10.63</v>
      </c>
      <c r="J219" s="29" t="n">
        <v>1134.9</v>
      </c>
      <c r="K219" s="29" t="n">
        <v>30.1</v>
      </c>
      <c r="L219" s="4" t="n">
        <v>37</v>
      </c>
      <c r="M219" s="4" t="n">
        <v>6</v>
      </c>
      <c r="N219" s="4" t="n">
        <v>1523</v>
      </c>
      <c r="O219" s="4" t="n">
        <v>4</v>
      </c>
      <c r="P219" s="4" t="n">
        <v>1</v>
      </c>
      <c r="Q219" s="4" t="n">
        <v>1</v>
      </c>
      <c r="R219" s="4" t="n">
        <v>0</v>
      </c>
      <c r="S219" s="4">
        <f>SUM(O219:R219)</f>
        <v>6</v>
      </c>
      <c r="T219" s="18">
        <f>J219/L219</f>
        <v>30.672972972973</v>
      </c>
      <c r="U219" s="18">
        <f>S219/G219*1000</f>
        <v>0.83079479368596</v>
      </c>
      <c r="V219" s="4">
        <f>Q219+R219</f>
        <v>1</v>
      </c>
      <c r="W219" s="29">
        <f>100*((J219-MIN($J$2:$J$236))/(MAX($J$2:$J$236)-MIN($J$2:$J$236))+(H219-MIN($H$2:$H$236))/(MAX($H$2:$H$236)-MIN($H$2:$H$236))+(1-(K219-MIN($K$2:$K$236))/(MAX($K$2:$K$236)-MIN($K$2:$K$236))))/3</f>
        <v>70.1050495388196</v>
      </c>
      <c r="X219" s="4" t="n">
        <v>6</v>
      </c>
      <c r="Y219" s="4" t="n">
        <v>1</v>
      </c>
      <c r="Z219" s="4" t="n">
        <v>1</v>
      </c>
      <c r="AA219" s="4" t="inlineStr">
        <is>
          <t>No</t>
        </is>
      </c>
      <c r="AB219" s="4" t="str">
        <f>IF(H219&lt;=Complexity!$C$11,"Q1 (lowest)",IF(H219&lt;=Complexity!$C$12,"Q2",IF(H219&lt;=Complexity!$C$13,"Q3","Q4 (highest)")))</f>
        <v>Q1 (lowest)</v>
      </c>
      <c r="AC219" s="4" t="str">
        <f>IF(J219&lt;=Churn!$C$11,"Q1 (lowest)",IF(J219&lt;=Churn!$C$12,"Q2",IF(J219&lt;=Churn!$C$13,"Q3","Q4 (highest)")))</f>
        <v>Q4 (highest)</v>
      </c>
      <c r="AD219" s="4" t="str">
        <f>IF(K219&lt;=40,"&lt;=40%",IF(K219&lt;=60,"40-60%",IF(K219&lt;=80,"60-80%","80%+")))</f>
        <v>&lt;=40%</v>
      </c>
      <c r="AE219" s="4" t="str">
        <f>IF(M219&lt;=2,"1-2",IF(M219&lt;=4,"3-4",IF(M219&lt;=6,"5-6","7+")))</f>
        <v>5-6</v>
      </c>
    </row>
    <row r="220">
      <c r="A220" s="4" t="inlineStr">
        <is>
          <t>ui_notifications</t>
        </is>
      </c>
      <c r="B220" s="4" t="inlineStr">
        <is>
          <t>UI</t>
        </is>
      </c>
      <c r="C220" s="4" t="inlineStr">
        <is>
          <t>JavaScript</t>
        </is>
      </c>
      <c r="D220" s="4" t="inlineStr">
        <is>
          <t>v2.1</t>
        </is>
      </c>
      <c r="E220" s="40" t="n">
        <v>45706</v>
      </c>
      <c r="F220" s="4" t="n">
        <v>4</v>
      </c>
      <c r="G220" s="4" t="n">
        <v>7222</v>
      </c>
      <c r="H220" s="18" t="n">
        <v>14.96</v>
      </c>
      <c r="I220" s="18" t="n">
        <v>10.5</v>
      </c>
      <c r="J220" s="29" t="n">
        <v>810.8499999999999</v>
      </c>
      <c r="K220" s="29" t="n">
        <v>32.2</v>
      </c>
      <c r="L220" s="4" t="n">
        <v>7</v>
      </c>
      <c r="M220" s="4" t="n">
        <v>2</v>
      </c>
      <c r="N220" s="4" t="n">
        <v>439</v>
      </c>
      <c r="O220" s="4" t="n">
        <v>1</v>
      </c>
      <c r="P220" s="4" t="n">
        <v>1</v>
      </c>
      <c r="Q220" s="4" t="n">
        <v>0</v>
      </c>
      <c r="R220" s="4" t="n">
        <v>1</v>
      </c>
      <c r="S220" s="4">
        <f>SUM(O220:R220)</f>
        <v>3</v>
      </c>
      <c r="T220" s="18">
        <f>J220/L220</f>
        <v>115.835714285714</v>
      </c>
      <c r="U220" s="18">
        <f>S220/G220*1000</f>
        <v>0.41539739684298</v>
      </c>
      <c r="V220" s="4">
        <f>Q220+R220</f>
        <v>1</v>
      </c>
      <c r="W220" s="29">
        <f>100*((J220-MIN($J$2:$J$236))/(MAX($J$2:$J$236)-MIN($J$2:$J$236))+(H220-MIN($H$2:$H$236))/(MAX($H$2:$H$236)-MIN($H$2:$H$236))+(1-(K220-MIN($K$2:$K$236))/(MAX($K$2:$K$236)-MIN($K$2:$K$236))))/3</f>
        <v>65.0712327776417</v>
      </c>
      <c r="X220" s="4" t="n">
        <v>6</v>
      </c>
      <c r="Y220" s="4" t="n">
        <v>1</v>
      </c>
      <c r="Z220" s="4" t="n">
        <v>1</v>
      </c>
      <c r="AA220" s="4" t="inlineStr">
        <is>
          <t>No</t>
        </is>
      </c>
      <c r="AB220" s="4" t="str">
        <f>IF(H220&lt;=Complexity!$C$11,"Q1 (lowest)",IF(H220&lt;=Complexity!$C$12,"Q2",IF(H220&lt;=Complexity!$C$13,"Q3","Q4 (highest)")))</f>
        <v>Q2</v>
      </c>
      <c r="AC220" s="4" t="str">
        <f>IF(J220&lt;=Churn!$C$11,"Q1 (lowest)",IF(J220&lt;=Churn!$C$12,"Q2",IF(J220&lt;=Churn!$C$13,"Q3","Q4 (highest)")))</f>
        <v>Q4 (highest)</v>
      </c>
      <c r="AD220" s="4" t="str">
        <f>IF(K220&lt;=40,"&lt;=40%",IF(K220&lt;=60,"40-60%",IF(K220&lt;=80,"60-80%","80%+")))</f>
        <v>&lt;=40%</v>
      </c>
      <c r="AE220" s="4" t="str">
        <f>IF(M220&lt;=2,"1-2",IF(M220&lt;=4,"3-4",IF(M220&lt;=6,"5-6","7+")))</f>
        <v>1-2</v>
      </c>
    </row>
    <row r="221">
      <c r="A221" s="4" t="inlineStr">
        <is>
          <t>ui_notifications</t>
        </is>
      </c>
      <c r="B221" s="4" t="inlineStr">
        <is>
          <t>UI</t>
        </is>
      </c>
      <c r="C221" s="4" t="inlineStr">
        <is>
          <t>JavaScript</t>
        </is>
      </c>
      <c r="D221" s="4" t="inlineStr">
        <is>
          <t>v3.0</t>
        </is>
      </c>
      <c r="E221" s="40" t="n">
        <v>45839</v>
      </c>
      <c r="F221" s="4" t="n">
        <v>5</v>
      </c>
      <c r="G221" s="4" t="n">
        <v>7222</v>
      </c>
      <c r="H221" s="18" t="n">
        <v>13.31</v>
      </c>
      <c r="I221" s="18" t="n">
        <v>13.23</v>
      </c>
      <c r="J221" s="29" t="n">
        <v>593.4</v>
      </c>
      <c r="K221" s="29" t="n">
        <v>35.4</v>
      </c>
      <c r="L221" s="4" t="n">
        <v>16</v>
      </c>
      <c r="M221" s="4" t="n">
        <v>4</v>
      </c>
      <c r="N221" s="4" t="n">
        <v>846</v>
      </c>
      <c r="O221" s="4" t="n">
        <v>0</v>
      </c>
      <c r="P221" s="4" t="n">
        <v>0</v>
      </c>
      <c r="Q221" s="4" t="n">
        <v>0</v>
      </c>
      <c r="R221" s="4" t="n">
        <v>0</v>
      </c>
      <c r="S221" s="4">
        <f>SUM(O221:R221)</f>
        <v>0</v>
      </c>
      <c r="T221" s="18">
        <f>J221/L221</f>
        <v>37.0875</v>
      </c>
      <c r="U221" s="18">
        <f>S221/G221*1000</f>
        <v>0</v>
      </c>
      <c r="V221" s="4">
        <f>Q221+R221</f>
        <v>0</v>
      </c>
      <c r="W221" s="29">
        <f>100*((J221-MIN($J$2:$J$236))/(MAX($J$2:$J$236)-MIN($J$2:$J$236))+(H221-MIN($H$2:$H$236))/(MAX($H$2:$H$236)-MIN($H$2:$H$236))+(1-(K221-MIN($K$2:$K$236))/(MAX($K$2:$K$236)-MIN($K$2:$K$236))))/3</f>
        <v>55.8981807007503</v>
      </c>
      <c r="X221" s="4" t="n">
        <v>3</v>
      </c>
      <c r="Y221" s="4" t="n">
        <v>1</v>
      </c>
      <c r="Z221" s="4" t="n">
        <v>0</v>
      </c>
      <c r="AA221" s="4" t="inlineStr">
        <is>
          <t>No</t>
        </is>
      </c>
      <c r="AB221" s="4" t="str">
        <f>IF(H221&lt;=Complexity!$C$11,"Q1 (lowest)",IF(H221&lt;=Complexity!$C$12,"Q2",IF(H221&lt;=Complexity!$C$13,"Q3","Q4 (highest)")))</f>
        <v>Q2</v>
      </c>
      <c r="AC221" s="4" t="str">
        <f>IF(J221&lt;=Churn!$C$11,"Q1 (lowest)",IF(J221&lt;=Churn!$C$12,"Q2",IF(J221&lt;=Churn!$C$13,"Q3","Q4 (highest)")))</f>
        <v>Q4 (highest)</v>
      </c>
      <c r="AD221" s="4" t="str">
        <f>IF(K221&lt;=40,"&lt;=40%",IF(K221&lt;=60,"40-60%",IF(K221&lt;=80,"60-80%","80%+")))</f>
        <v>&lt;=40%</v>
      </c>
      <c r="AE221" s="4" t="str">
        <f>IF(M221&lt;=2,"1-2",IF(M221&lt;=4,"3-4",IF(M221&lt;=6,"5-6","7+")))</f>
        <v>3-4</v>
      </c>
    </row>
    <row r="222">
      <c r="A222" s="4" t="inlineStr">
        <is>
          <t>ui_profile</t>
        </is>
      </c>
      <c r="B222" s="4" t="inlineStr">
        <is>
          <t>UI</t>
        </is>
      </c>
      <c r="C222" s="4" t="inlineStr">
        <is>
          <t>JavaScript</t>
        </is>
      </c>
      <c r="D222" s="4" t="inlineStr">
        <is>
          <t>v1.0</t>
        </is>
      </c>
      <c r="E222" s="40" t="n">
        <v>45306</v>
      </c>
      <c r="F222" s="4" t="n">
        <v>1</v>
      </c>
      <c r="G222" s="4" t="n">
        <v>1565</v>
      </c>
      <c r="H222" s="18" t="n">
        <v>15.18</v>
      </c>
      <c r="I222" s="18" t="n">
        <v>14.84</v>
      </c>
      <c r="J222" s="29" t="n">
        <v>434.4</v>
      </c>
      <c r="K222" s="29" t="n">
        <v>49.4</v>
      </c>
      <c r="L222" s="4" t="n">
        <v>12</v>
      </c>
      <c r="M222" s="4" t="n">
        <v>4</v>
      </c>
      <c r="N222" s="4" t="n">
        <v>641</v>
      </c>
      <c r="O222" s="4" t="n">
        <v>0</v>
      </c>
      <c r="P222" s="4" t="n">
        <v>2</v>
      </c>
      <c r="Q222" s="4" t="n">
        <v>1</v>
      </c>
      <c r="R222" s="4" t="n">
        <v>0</v>
      </c>
      <c r="S222" s="4">
        <f>SUM(O222:R222)</f>
        <v>3</v>
      </c>
      <c r="T222" s="18">
        <f>J222/L222</f>
        <v>36.2</v>
      </c>
      <c r="U222" s="18">
        <f>S222/G222*1000</f>
        <v>1.91693290734824</v>
      </c>
      <c r="V222" s="4">
        <f>Q222+R222</f>
        <v>1</v>
      </c>
      <c r="W222" s="29">
        <f>100*((J222-MIN($J$2:$J$236))/(MAX($J$2:$J$236)-MIN($J$2:$J$236))+(H222-MIN($H$2:$H$236))/(MAX($H$2:$H$236)-MIN($H$2:$H$236))+(1-(K222-MIN($K$2:$K$236))/(MAX($K$2:$K$236)-MIN($K$2:$K$236))))/3</f>
        <v>47.1397415788419</v>
      </c>
      <c r="X222" s="4" t="n">
        <v>0</v>
      </c>
      <c r="Y222" s="4" t="n">
        <v>0</v>
      </c>
      <c r="Z222" s="4" t="n">
        <v>1</v>
      </c>
      <c r="AA222" s="4" t="inlineStr">
        <is>
          <t>No</t>
        </is>
      </c>
      <c r="AB222" s="4" t="str">
        <f>IF(H222&lt;=Complexity!$C$11,"Q1 (lowest)",IF(H222&lt;=Complexity!$C$12,"Q2",IF(H222&lt;=Complexity!$C$13,"Q3","Q4 (highest)")))</f>
        <v>Q3</v>
      </c>
      <c r="AC222" s="4" t="str">
        <f>IF(J222&lt;=Churn!$C$11,"Q1 (lowest)",IF(J222&lt;=Churn!$C$12,"Q2",IF(J222&lt;=Churn!$C$13,"Q3","Q4 (highest)")))</f>
        <v>Q4 (highest)</v>
      </c>
      <c r="AD222" s="4" t="str">
        <f>IF(K222&lt;=40,"&lt;=40%",IF(K222&lt;=60,"40-60%",IF(K222&lt;=80,"60-80%","80%+")))</f>
        <v>40-60%</v>
      </c>
      <c r="AE222" s="4" t="str">
        <f>IF(M222&lt;=2,"1-2",IF(M222&lt;=4,"3-4",IF(M222&lt;=6,"5-6","7+")))</f>
        <v>3-4</v>
      </c>
    </row>
    <row r="223">
      <c r="A223" s="4" t="inlineStr">
        <is>
          <t>ui_profile</t>
        </is>
      </c>
      <c r="B223" s="4" t="inlineStr">
        <is>
          <t>UI</t>
        </is>
      </c>
      <c r="C223" s="4" t="inlineStr">
        <is>
          <t>JavaScript</t>
        </is>
      </c>
      <c r="D223" s="4" t="inlineStr">
        <is>
          <t>v1.1</t>
        </is>
      </c>
      <c r="E223" s="40" t="n">
        <v>45432</v>
      </c>
      <c r="F223" s="4" t="n">
        <v>2</v>
      </c>
      <c r="G223" s="4" t="n">
        <v>1565</v>
      </c>
      <c r="H223" s="18" t="n">
        <v>12.36</v>
      </c>
      <c r="I223" s="18" t="n">
        <v>9.67</v>
      </c>
      <c r="J223" s="29" t="n">
        <v>38.3</v>
      </c>
      <c r="K223" s="29" t="n">
        <v>56.6</v>
      </c>
      <c r="L223" s="4" t="n">
        <v>1</v>
      </c>
      <c r="M223" s="4" t="n">
        <v>1</v>
      </c>
      <c r="N223" s="4" t="n">
        <v>58</v>
      </c>
      <c r="O223" s="4" t="n">
        <v>0</v>
      </c>
      <c r="P223" s="4" t="n">
        <v>0</v>
      </c>
      <c r="Q223" s="4" t="n">
        <v>0</v>
      </c>
      <c r="R223" s="4" t="n">
        <v>0</v>
      </c>
      <c r="S223" s="4">
        <f>SUM(O223:R223)</f>
        <v>0</v>
      </c>
      <c r="T223" s="18">
        <f>J223/L223</f>
        <v>38.3</v>
      </c>
      <c r="U223" s="18">
        <f>S223/G223*1000</f>
        <v>0</v>
      </c>
      <c r="V223" s="4">
        <f>Q223+R223</f>
        <v>0</v>
      </c>
      <c r="W223" s="29">
        <f>100*((J223-MIN($J$2:$J$236))/(MAX($J$2:$J$236)-MIN($J$2:$J$236))+(H223-MIN($H$2:$H$236))/(MAX($H$2:$H$236)-MIN($H$2:$H$236))+(1-(K223-MIN($K$2:$K$236))/(MAX($K$2:$K$236)-MIN($K$2:$K$236))))/3</f>
        <v>30.0022534399944</v>
      </c>
      <c r="X223" s="4" t="n">
        <v>3</v>
      </c>
      <c r="Y223" s="4" t="n">
        <v>0</v>
      </c>
      <c r="Z223" s="4" t="n">
        <v>0</v>
      </c>
      <c r="AA223" s="4" t="inlineStr">
        <is>
          <t>No</t>
        </is>
      </c>
      <c r="AB223" s="4" t="str">
        <f>IF(H223&lt;=Complexity!$C$11,"Q1 (lowest)",IF(H223&lt;=Complexity!$C$12,"Q2",IF(H223&lt;=Complexity!$C$13,"Q3","Q4 (highest)")))</f>
        <v>Q2</v>
      </c>
      <c r="AC223" s="4" t="str">
        <f>IF(J223&lt;=Churn!$C$11,"Q1 (lowest)",IF(J223&lt;=Churn!$C$12,"Q2",IF(J223&lt;=Churn!$C$13,"Q3","Q4 (highest)")))</f>
        <v>Q1 (lowest)</v>
      </c>
      <c r="AD223" s="4" t="str">
        <f>IF(K223&lt;=40,"&lt;=40%",IF(K223&lt;=60,"40-60%",IF(K223&lt;=80,"60-80%","80%+")))</f>
        <v>40-60%</v>
      </c>
      <c r="AE223" s="4" t="str">
        <f>IF(M223&lt;=2,"1-2",IF(M223&lt;=4,"3-4",IF(M223&lt;=6,"5-6","7+")))</f>
        <v>1-2</v>
      </c>
    </row>
    <row r="224">
      <c r="A224" s="4" t="inlineStr">
        <is>
          <t>ui_profile</t>
        </is>
      </c>
      <c r="B224" s="4" t="inlineStr">
        <is>
          <t>UI</t>
        </is>
      </c>
      <c r="C224" s="4" t="inlineStr">
        <is>
          <t>JavaScript</t>
        </is>
      </c>
      <c r="D224" s="4" t="inlineStr">
        <is>
          <t>v2.0</t>
        </is>
      </c>
      <c r="E224" s="40" t="n">
        <v>45545</v>
      </c>
      <c r="F224" s="4" t="n">
        <v>3</v>
      </c>
      <c r="G224" s="4" t="n">
        <v>1565</v>
      </c>
      <c r="H224" s="18" t="n">
        <v>6.92</v>
      </c>
      <c r="I224" s="18" t="n">
        <v>6.42</v>
      </c>
      <c r="J224" s="29" t="n">
        <v>102.3</v>
      </c>
      <c r="K224" s="29" t="n">
        <v>48</v>
      </c>
      <c r="L224" s="4" t="n">
        <v>4</v>
      </c>
      <c r="M224" s="4" t="n">
        <v>2</v>
      </c>
      <c r="N224" s="4" t="n">
        <v>175</v>
      </c>
      <c r="O224" s="4" t="n">
        <v>0</v>
      </c>
      <c r="P224" s="4" t="n">
        <v>0</v>
      </c>
      <c r="Q224" s="4" t="n">
        <v>0</v>
      </c>
      <c r="R224" s="4" t="n">
        <v>0</v>
      </c>
      <c r="S224" s="4">
        <f>SUM(O224:R224)</f>
        <v>0</v>
      </c>
      <c r="T224" s="18">
        <f>J224/L224</f>
        <v>25.575</v>
      </c>
      <c r="U224" s="18">
        <f>S224/G224*1000</f>
        <v>0</v>
      </c>
      <c r="V224" s="4">
        <f>Q224+R224</f>
        <v>0</v>
      </c>
      <c r="W224" s="29">
        <f>100*((J224-MIN($J$2:$J$236))/(MAX($J$2:$J$236)-MIN($J$2:$J$236))+(H224-MIN($H$2:$H$236))/(MAX($H$2:$H$236)-MIN($H$2:$H$236))+(1-(K224-MIN($K$2:$K$236))/(MAX($K$2:$K$236)-MIN($K$2:$K$236))))/3</f>
        <v>29.9036940432076</v>
      </c>
      <c r="X224" s="4" t="n">
        <v>0</v>
      </c>
      <c r="Y224" s="4" t="n">
        <v>0</v>
      </c>
      <c r="Z224" s="4" t="n">
        <v>0</v>
      </c>
      <c r="AA224" s="4" t="inlineStr">
        <is>
          <t>No</t>
        </is>
      </c>
      <c r="AB224" s="4" t="str">
        <f>IF(H224&lt;=Complexity!$C$11,"Q1 (lowest)",IF(H224&lt;=Complexity!$C$12,"Q2",IF(H224&lt;=Complexity!$C$13,"Q3","Q4 (highest)")))</f>
        <v>Q1 (lowest)</v>
      </c>
      <c r="AC224" s="4" t="str">
        <f>IF(J224&lt;=Churn!$C$11,"Q1 (lowest)",IF(J224&lt;=Churn!$C$12,"Q2",IF(J224&lt;=Churn!$C$13,"Q3","Q4 (highest)")))</f>
        <v>Q1 (lowest)</v>
      </c>
      <c r="AD224" s="4" t="str">
        <f>IF(K224&lt;=40,"&lt;=40%",IF(K224&lt;=60,"40-60%",IF(K224&lt;=80,"60-80%","80%+")))</f>
        <v>40-60%</v>
      </c>
      <c r="AE224" s="4" t="str">
        <f>IF(M224&lt;=2,"1-2",IF(M224&lt;=4,"3-4",IF(M224&lt;=6,"5-6","7+")))</f>
        <v>1-2</v>
      </c>
    </row>
    <row r="225">
      <c r="A225" s="4" t="inlineStr">
        <is>
          <t>ui_profile</t>
        </is>
      </c>
      <c r="B225" s="4" t="inlineStr">
        <is>
          <t>UI</t>
        </is>
      </c>
      <c r="C225" s="4" t="inlineStr">
        <is>
          <t>JavaScript</t>
        </is>
      </c>
      <c r="D225" s="4" t="inlineStr">
        <is>
          <t>v2.1</t>
        </is>
      </c>
      <c r="E225" s="40" t="n">
        <v>45706</v>
      </c>
      <c r="F225" s="4" t="n">
        <v>4</v>
      </c>
      <c r="G225" s="4" t="n">
        <v>1565</v>
      </c>
      <c r="H225" s="18" t="n">
        <v>16.38</v>
      </c>
      <c r="I225" s="18" t="n">
        <v>8.4</v>
      </c>
      <c r="J225" s="29" t="n">
        <v>532</v>
      </c>
      <c r="K225" s="29" t="n">
        <v>48.7</v>
      </c>
      <c r="L225" s="4" t="n">
        <v>20</v>
      </c>
      <c r="M225" s="4" t="n">
        <v>5</v>
      </c>
      <c r="N225" s="4" t="n">
        <v>600</v>
      </c>
      <c r="O225" s="4" t="n">
        <v>1</v>
      </c>
      <c r="P225" s="4" t="n">
        <v>0</v>
      </c>
      <c r="Q225" s="4" t="n">
        <v>1</v>
      </c>
      <c r="R225" s="4" t="n">
        <v>0</v>
      </c>
      <c r="S225" s="4">
        <f>SUM(O225:R225)</f>
        <v>2</v>
      </c>
      <c r="T225" s="18">
        <f>J225/L225</f>
        <v>26.6</v>
      </c>
      <c r="U225" s="18">
        <f>S225/G225*1000</f>
        <v>1.2779552715655</v>
      </c>
      <c r="V225" s="4">
        <f>Q225+R225</f>
        <v>1</v>
      </c>
      <c r="W225" s="29">
        <f>100*((J225-MIN($J$2:$J$236))/(MAX($J$2:$J$236)-MIN($J$2:$J$236))+(H225-MIN($H$2:$H$236))/(MAX($H$2:$H$236)-MIN($H$2:$H$236))+(1-(K225-MIN($K$2:$K$236))/(MAX($K$2:$K$236)-MIN($K$2:$K$236))))/3</f>
        <v>51.4089231938199</v>
      </c>
      <c r="X225" s="4" t="n">
        <v>0</v>
      </c>
      <c r="Y225" s="4" t="n">
        <v>0</v>
      </c>
      <c r="Z225" s="4" t="n">
        <v>0</v>
      </c>
      <c r="AA225" s="4" t="inlineStr">
        <is>
          <t>No</t>
        </is>
      </c>
      <c r="AB225" s="4" t="str">
        <f>IF(H225&lt;=Complexity!$C$11,"Q1 (lowest)",IF(H225&lt;=Complexity!$C$12,"Q2",IF(H225&lt;=Complexity!$C$13,"Q3","Q4 (highest)")))</f>
        <v>Q3</v>
      </c>
      <c r="AC225" s="4" t="str">
        <f>IF(J225&lt;=Churn!$C$11,"Q1 (lowest)",IF(J225&lt;=Churn!$C$12,"Q2",IF(J225&lt;=Churn!$C$13,"Q3","Q4 (highest)")))</f>
        <v>Q4 (highest)</v>
      </c>
      <c r="AD225" s="4" t="str">
        <f>IF(K225&lt;=40,"&lt;=40%",IF(K225&lt;=60,"40-60%",IF(K225&lt;=80,"60-80%","80%+")))</f>
        <v>40-60%</v>
      </c>
      <c r="AE225" s="4" t="str">
        <f>IF(M225&lt;=2,"1-2",IF(M225&lt;=4,"3-4",IF(M225&lt;=6,"5-6","7+")))</f>
        <v>5-6</v>
      </c>
    </row>
    <row r="226">
      <c r="A226" s="4" t="inlineStr">
        <is>
          <t>ui_profile</t>
        </is>
      </c>
      <c r="B226" s="4" t="inlineStr">
        <is>
          <t>UI</t>
        </is>
      </c>
      <c r="C226" s="4" t="inlineStr">
        <is>
          <t>JavaScript</t>
        </is>
      </c>
      <c r="D226" s="4" t="inlineStr">
        <is>
          <t>v3.0</t>
        </is>
      </c>
      <c r="E226" s="40" t="n">
        <v>45839</v>
      </c>
      <c r="F226" s="4" t="n">
        <v>5</v>
      </c>
      <c r="G226" s="4" t="n">
        <v>1565</v>
      </c>
      <c r="H226" s="18" t="n">
        <v>14.88</v>
      </c>
      <c r="I226" s="18" t="n">
        <v>12.18</v>
      </c>
      <c r="J226" s="29" t="n">
        <v>49.4</v>
      </c>
      <c r="K226" s="29" t="n">
        <v>57.3</v>
      </c>
      <c r="L226" s="4" t="n">
        <v>1</v>
      </c>
      <c r="M226" s="4" t="n">
        <v>1</v>
      </c>
      <c r="N226" s="4" t="n">
        <v>87</v>
      </c>
      <c r="O226" s="4" t="n">
        <v>0</v>
      </c>
      <c r="P226" s="4" t="n">
        <v>0</v>
      </c>
      <c r="Q226" s="4" t="n">
        <v>0</v>
      </c>
      <c r="R226" s="4" t="n">
        <v>0</v>
      </c>
      <c r="S226" s="4">
        <f>SUM(O226:R226)</f>
        <v>0</v>
      </c>
      <c r="T226" s="18">
        <f>J226/L226</f>
        <v>49.4</v>
      </c>
      <c r="U226" s="18">
        <f>S226/G226*1000</f>
        <v>0</v>
      </c>
      <c r="V226" s="4">
        <f>Q226+R226</f>
        <v>0</v>
      </c>
      <c r="W226" s="29">
        <f>100*((J226-MIN($J$2:$J$236))/(MAX($J$2:$J$236)-MIN($J$2:$J$236))+(H226-MIN($H$2:$H$236))/(MAX($H$2:$H$236)-MIN($H$2:$H$236))+(1-(K226-MIN($K$2:$K$236))/(MAX($K$2:$K$236)-MIN($K$2:$K$236))))/3</f>
        <v>32.6625666317269</v>
      </c>
      <c r="X226" s="4" t="n">
        <v>2</v>
      </c>
      <c r="Y226" s="4" t="n">
        <v>0</v>
      </c>
      <c r="Z226" s="4" t="n">
        <v>0</v>
      </c>
      <c r="AA226" s="4" t="inlineStr">
        <is>
          <t>No</t>
        </is>
      </c>
      <c r="AB226" s="4" t="str">
        <f>IF(H226&lt;=Complexity!$C$11,"Q1 (lowest)",IF(H226&lt;=Complexity!$C$12,"Q2",IF(H226&lt;=Complexity!$C$13,"Q3","Q4 (highest)")))</f>
        <v>Q2</v>
      </c>
      <c r="AC226" s="4" t="str">
        <f>IF(J226&lt;=Churn!$C$11,"Q1 (lowest)",IF(J226&lt;=Churn!$C$12,"Q2",IF(J226&lt;=Churn!$C$13,"Q3","Q4 (highest)")))</f>
        <v>Q1 (lowest)</v>
      </c>
      <c r="AD226" s="4" t="str">
        <f>IF(K226&lt;=40,"&lt;=40%",IF(K226&lt;=60,"40-60%",IF(K226&lt;=80,"60-80%","80%+")))</f>
        <v>40-60%</v>
      </c>
      <c r="AE226" s="4" t="str">
        <f>IF(M226&lt;=2,"1-2",IF(M226&lt;=4,"3-4",IF(M226&lt;=6,"5-6","7+")))</f>
        <v>1-2</v>
      </c>
    </row>
    <row r="227">
      <c r="A227" s="4" t="inlineStr">
        <is>
          <t>ui_search</t>
        </is>
      </c>
      <c r="B227" s="4" t="inlineStr">
        <is>
          <t>UI</t>
        </is>
      </c>
      <c r="C227" s="4" t="inlineStr">
        <is>
          <t>JavaScript</t>
        </is>
      </c>
      <c r="D227" s="4" t="inlineStr">
        <is>
          <t>v1.0</t>
        </is>
      </c>
      <c r="E227" s="40" t="n">
        <v>45306</v>
      </c>
      <c r="F227" s="4" t="n">
        <v>1</v>
      </c>
      <c r="G227" s="4" t="n">
        <v>2587</v>
      </c>
      <c r="H227" s="18" t="n">
        <v>9.77</v>
      </c>
      <c r="I227" s="18" t="n">
        <v>6.68</v>
      </c>
      <c r="J227" s="29" t="n">
        <v>980.4</v>
      </c>
      <c r="K227" s="29" t="n">
        <v>47.4</v>
      </c>
      <c r="L227" s="4" t="n">
        <v>51</v>
      </c>
      <c r="M227" s="4" t="n">
        <v>8</v>
      </c>
      <c r="N227" s="4" t="n">
        <v>1412</v>
      </c>
      <c r="O227" s="4" t="n">
        <v>0</v>
      </c>
      <c r="P227" s="4" t="n">
        <v>1</v>
      </c>
      <c r="Q227" s="4" t="n">
        <v>2</v>
      </c>
      <c r="R227" s="4" t="n">
        <v>1</v>
      </c>
      <c r="S227" s="4">
        <f>SUM(O227:R227)</f>
        <v>4</v>
      </c>
      <c r="T227" s="18">
        <f>J227/L227</f>
        <v>19.2235294117647</v>
      </c>
      <c r="U227" s="18">
        <f>S227/G227*1000</f>
        <v>1.54619250096637</v>
      </c>
      <c r="V227" s="4">
        <f>Q227+R227</f>
        <v>3</v>
      </c>
      <c r="W227" s="29">
        <f>100*((J227-MIN($J$2:$J$236))/(MAX($J$2:$J$236)-MIN($J$2:$J$236))+(H227-MIN($H$2:$H$236))/(MAX($H$2:$H$236)-MIN($H$2:$H$236))+(1-(K227-MIN($K$2:$K$236))/(MAX($K$2:$K$236)-MIN($K$2:$K$236))))/3</f>
        <v>57.2794332120032</v>
      </c>
      <c r="X227" s="4" t="n">
        <v>0</v>
      </c>
      <c r="Y227" s="4" t="n">
        <v>0</v>
      </c>
      <c r="Z227" s="4" t="n">
        <v>1</v>
      </c>
      <c r="AA227" s="4" t="inlineStr">
        <is>
          <t>No</t>
        </is>
      </c>
      <c r="AB227" s="4" t="str">
        <f>IF(H227&lt;=Complexity!$C$11,"Q1 (lowest)",IF(H227&lt;=Complexity!$C$12,"Q2",IF(H227&lt;=Complexity!$C$13,"Q3","Q4 (highest)")))</f>
        <v>Q1 (lowest)</v>
      </c>
      <c r="AC227" s="4" t="str">
        <f>IF(J227&lt;=Churn!$C$11,"Q1 (lowest)",IF(J227&lt;=Churn!$C$12,"Q2",IF(J227&lt;=Churn!$C$13,"Q3","Q4 (highest)")))</f>
        <v>Q4 (highest)</v>
      </c>
      <c r="AD227" s="4" t="str">
        <f>IF(K227&lt;=40,"&lt;=40%",IF(K227&lt;=60,"40-60%",IF(K227&lt;=80,"60-80%","80%+")))</f>
        <v>40-60%</v>
      </c>
      <c r="AE227" s="4" t="str">
        <f>IF(M227&lt;=2,"1-2",IF(M227&lt;=4,"3-4",IF(M227&lt;=6,"5-6","7+")))</f>
        <v>7+</v>
      </c>
    </row>
    <row r="228">
      <c r="A228" s="4" t="inlineStr">
        <is>
          <t>ui_search</t>
        </is>
      </c>
      <c r="B228" s="4" t="inlineStr">
        <is>
          <t>UI</t>
        </is>
      </c>
      <c r="C228" s="4" t="inlineStr">
        <is>
          <t>JavaScript</t>
        </is>
      </c>
      <c r="D228" s="4" t="inlineStr">
        <is>
          <t>v1.1</t>
        </is>
      </c>
      <c r="E228" s="40" t="n">
        <v>45432</v>
      </c>
      <c r="F228" s="4" t="n">
        <v>2</v>
      </c>
      <c r="G228" s="4" t="n">
        <v>2587</v>
      </c>
      <c r="H228" s="18" t="n">
        <v>13.17</v>
      </c>
      <c r="I228" s="18" t="n">
        <v>10.66</v>
      </c>
      <c r="J228" s="29" t="n">
        <v>340.9</v>
      </c>
      <c r="K228" s="29" t="n">
        <v>55</v>
      </c>
      <c r="L228" s="4" t="n">
        <v>10</v>
      </c>
      <c r="M228" s="4" t="n">
        <v>2</v>
      </c>
      <c r="N228" s="4" t="n">
        <v>375</v>
      </c>
      <c r="O228" s="4" t="n">
        <v>0</v>
      </c>
      <c r="P228" s="4" t="n">
        <v>0</v>
      </c>
      <c r="Q228" s="4" t="n">
        <v>0</v>
      </c>
      <c r="R228" s="4" t="n">
        <v>0</v>
      </c>
      <c r="S228" s="4">
        <f>SUM(O228:R228)</f>
        <v>0</v>
      </c>
      <c r="T228" s="18">
        <f>J228/L228</f>
        <v>34.09</v>
      </c>
      <c r="U228" s="18">
        <f>S228/G228*1000</f>
        <v>0</v>
      </c>
      <c r="V228" s="4">
        <f>Q228+R228</f>
        <v>0</v>
      </c>
      <c r="W228" s="29">
        <f>100*((J228-MIN($J$2:$J$236))/(MAX($J$2:$J$236)-MIN($J$2:$J$236))+(H228-MIN($H$2:$H$236))/(MAX($H$2:$H$236)-MIN($H$2:$H$236))+(1-(K228-MIN($K$2:$K$236))/(MAX($K$2:$K$236)-MIN($K$2:$K$236))))/3</f>
        <v>39.8887233130581</v>
      </c>
      <c r="X228" s="4" t="n">
        <v>4</v>
      </c>
      <c r="Y228" s="4" t="n">
        <v>0</v>
      </c>
      <c r="Z228" s="4" t="n">
        <v>0</v>
      </c>
      <c r="AA228" s="4" t="inlineStr">
        <is>
          <t>No</t>
        </is>
      </c>
      <c r="AB228" s="4" t="str">
        <f>IF(H228&lt;=Complexity!$C$11,"Q1 (lowest)",IF(H228&lt;=Complexity!$C$12,"Q2",IF(H228&lt;=Complexity!$C$13,"Q3","Q4 (highest)")))</f>
        <v>Q2</v>
      </c>
      <c r="AC228" s="4" t="str">
        <f>IF(J228&lt;=Churn!$C$11,"Q1 (lowest)",IF(J228&lt;=Churn!$C$12,"Q2",IF(J228&lt;=Churn!$C$13,"Q3","Q4 (highest)")))</f>
        <v>Q3</v>
      </c>
      <c r="AD228" s="4" t="str">
        <f>IF(K228&lt;=40,"&lt;=40%",IF(K228&lt;=60,"40-60%",IF(K228&lt;=80,"60-80%","80%+")))</f>
        <v>40-60%</v>
      </c>
      <c r="AE228" s="4" t="str">
        <f>IF(M228&lt;=2,"1-2",IF(M228&lt;=4,"3-4",IF(M228&lt;=6,"5-6","7+")))</f>
        <v>1-2</v>
      </c>
    </row>
    <row r="229">
      <c r="A229" s="4" t="inlineStr">
        <is>
          <t>ui_search</t>
        </is>
      </c>
      <c r="B229" s="4" t="inlineStr">
        <is>
          <t>UI</t>
        </is>
      </c>
      <c r="C229" s="4" t="inlineStr">
        <is>
          <t>JavaScript</t>
        </is>
      </c>
      <c r="D229" s="4" t="inlineStr">
        <is>
          <t>v2.0</t>
        </is>
      </c>
      <c r="E229" s="40" t="n">
        <v>45545</v>
      </c>
      <c r="F229" s="4" t="n">
        <v>3</v>
      </c>
      <c r="G229" s="4" t="n">
        <v>2587</v>
      </c>
      <c r="H229" s="18" t="n">
        <v>11.975</v>
      </c>
      <c r="I229" s="18" t="n">
        <v>10.03</v>
      </c>
      <c r="J229" s="29" t="n">
        <v>384</v>
      </c>
      <c r="K229" s="29" t="n">
        <v>59.1</v>
      </c>
      <c r="L229" s="4" t="n">
        <v>13</v>
      </c>
      <c r="M229" s="4" t="n">
        <v>5</v>
      </c>
      <c r="N229" s="4" t="n">
        <v>438</v>
      </c>
      <c r="O229" s="4" t="n">
        <v>0</v>
      </c>
      <c r="P229" s="4" t="n">
        <v>0</v>
      </c>
      <c r="Q229" s="4" t="n">
        <v>0</v>
      </c>
      <c r="R229" s="4" t="n">
        <v>0</v>
      </c>
      <c r="S229" s="4">
        <f>SUM(O229:R229)</f>
        <v>0</v>
      </c>
      <c r="T229" s="18">
        <f>J229/L229</f>
        <v>29.5384615384615</v>
      </c>
      <c r="U229" s="18">
        <f>S229/G229*1000</f>
        <v>0</v>
      </c>
      <c r="V229" s="4">
        <f>Q229+R229</f>
        <v>0</v>
      </c>
      <c r="W229" s="29">
        <f>100*((J229-MIN($J$2:$J$236))/(MAX($J$2:$J$236)-MIN($J$2:$J$236))+(H229-MIN($H$2:$H$236))/(MAX($H$2:$H$236)-MIN($H$2:$H$236))+(1-(K229-MIN($K$2:$K$236))/(MAX($K$2:$K$236)-MIN($K$2:$K$236))))/3</f>
        <v>37.9323216261335</v>
      </c>
      <c r="X229" s="4" t="n">
        <v>0</v>
      </c>
      <c r="Y229" s="4" t="n">
        <v>0</v>
      </c>
      <c r="Z229" s="4" t="n">
        <v>0</v>
      </c>
      <c r="AA229" s="4" t="inlineStr">
        <is>
          <t>Yes</t>
        </is>
      </c>
      <c r="AB229" s="4" t="str">
        <f>IF(H229&lt;=Complexity!$C$11,"Q1 (lowest)",IF(H229&lt;=Complexity!$C$12,"Q2",IF(H229&lt;=Complexity!$C$13,"Q3","Q4 (highest)")))</f>
        <v>Q2</v>
      </c>
      <c r="AC229" s="4" t="str">
        <f>IF(J229&lt;=Churn!$C$11,"Q1 (lowest)",IF(J229&lt;=Churn!$C$12,"Q2",IF(J229&lt;=Churn!$C$13,"Q3","Q4 (highest)")))</f>
        <v>Q3</v>
      </c>
      <c r="AD229" s="4" t="str">
        <f>IF(K229&lt;=40,"&lt;=40%",IF(K229&lt;=60,"40-60%",IF(K229&lt;=80,"60-80%","80%+")))</f>
        <v>40-60%</v>
      </c>
      <c r="AE229" s="4" t="str">
        <f>IF(M229&lt;=2,"1-2",IF(M229&lt;=4,"3-4",IF(M229&lt;=6,"5-6","7+")))</f>
        <v>5-6</v>
      </c>
    </row>
    <row r="230">
      <c r="A230" s="4" t="inlineStr">
        <is>
          <t>ui_search</t>
        </is>
      </c>
      <c r="B230" s="4" t="inlineStr">
        <is>
          <t>UI</t>
        </is>
      </c>
      <c r="C230" s="4" t="inlineStr">
        <is>
          <t>JavaScript</t>
        </is>
      </c>
      <c r="D230" s="4" t="inlineStr">
        <is>
          <t>v2.1</t>
        </is>
      </c>
      <c r="E230" s="40" t="n">
        <v>45706</v>
      </c>
      <c r="F230" s="4" t="n">
        <v>4</v>
      </c>
      <c r="G230" s="4" t="n">
        <v>2587</v>
      </c>
      <c r="H230" s="18" t="n">
        <v>18.61</v>
      </c>
      <c r="I230" s="18" t="n">
        <v>9.92</v>
      </c>
      <c r="J230" s="29" t="n">
        <v>128.3</v>
      </c>
      <c r="K230" s="29" t="n">
        <v>43.6</v>
      </c>
      <c r="L230" s="4" t="n">
        <v>5</v>
      </c>
      <c r="M230" s="4" t="n">
        <v>2</v>
      </c>
      <c r="N230" s="4" t="n">
        <v>156</v>
      </c>
      <c r="O230" s="4" t="n">
        <v>0</v>
      </c>
      <c r="P230" s="4" t="n">
        <v>0</v>
      </c>
      <c r="Q230" s="4" t="n">
        <v>0</v>
      </c>
      <c r="R230" s="4" t="n">
        <v>0</v>
      </c>
      <c r="S230" s="4">
        <f>SUM(O230:R230)</f>
        <v>0</v>
      </c>
      <c r="T230" s="18">
        <f>J230/L230</f>
        <v>25.66</v>
      </c>
      <c r="U230" s="18">
        <f>S230/G230*1000</f>
        <v>0</v>
      </c>
      <c r="V230" s="4">
        <f>Q230+R230</f>
        <v>0</v>
      </c>
      <c r="W230" s="29">
        <f>100*((J230-MIN($J$2:$J$236))/(MAX($J$2:$J$236)-MIN($J$2:$J$236))+(H230-MIN($H$2:$H$236))/(MAX($H$2:$H$236)-MIN($H$2:$H$236))+(1-(K230-MIN($K$2:$K$236))/(MAX($K$2:$K$236)-MIN($K$2:$K$236))))/3</f>
        <v>45.0327396234784</v>
      </c>
      <c r="X230" s="4" t="n">
        <v>0</v>
      </c>
      <c r="Y230" s="4" t="n">
        <v>0</v>
      </c>
      <c r="Z230" s="4" t="n">
        <v>0</v>
      </c>
      <c r="AA230" s="4" t="inlineStr">
        <is>
          <t>No</t>
        </is>
      </c>
      <c r="AB230" s="4" t="str">
        <f>IF(H230&lt;=Complexity!$C$11,"Q1 (lowest)",IF(H230&lt;=Complexity!$C$12,"Q2",IF(H230&lt;=Complexity!$C$13,"Q3","Q4 (highest)")))</f>
        <v>Q3</v>
      </c>
      <c r="AC230" s="4" t="str">
        <f>IF(J230&lt;=Churn!$C$11,"Q1 (lowest)",IF(J230&lt;=Churn!$C$12,"Q2",IF(J230&lt;=Churn!$C$13,"Q3","Q4 (highest)")))</f>
        <v>Q1 (lowest)</v>
      </c>
      <c r="AD230" s="4" t="str">
        <f>IF(K230&lt;=40,"&lt;=40%",IF(K230&lt;=60,"40-60%",IF(K230&lt;=80,"60-80%","80%+")))</f>
        <v>40-60%</v>
      </c>
      <c r="AE230" s="4" t="str">
        <f>IF(M230&lt;=2,"1-2",IF(M230&lt;=4,"3-4",IF(M230&lt;=6,"5-6","7+")))</f>
        <v>1-2</v>
      </c>
    </row>
    <row r="231">
      <c r="A231" s="4" t="inlineStr">
        <is>
          <t>ui_search</t>
        </is>
      </c>
      <c r="B231" s="4" t="inlineStr">
        <is>
          <t>UI</t>
        </is>
      </c>
      <c r="C231" s="4" t="inlineStr">
        <is>
          <t>JavaScript</t>
        </is>
      </c>
      <c r="D231" s="4" t="inlineStr">
        <is>
          <t>v3.0</t>
        </is>
      </c>
      <c r="E231" s="40" t="n">
        <v>45839</v>
      </c>
      <c r="F231" s="4" t="n">
        <v>5</v>
      </c>
      <c r="G231" s="4" t="n">
        <v>2587</v>
      </c>
      <c r="H231" s="18" t="n">
        <v>10.78</v>
      </c>
      <c r="I231" s="18" t="n">
        <v>7.5</v>
      </c>
      <c r="J231" s="29" t="n">
        <v>153.4</v>
      </c>
      <c r="K231" s="29" t="n">
        <v>63.6</v>
      </c>
      <c r="L231" s="4" t="n">
        <v>6</v>
      </c>
      <c r="M231" s="4" t="n">
        <v>3</v>
      </c>
      <c r="N231" s="4" t="n">
        <v>190</v>
      </c>
      <c r="O231" s="4" t="n">
        <v>0</v>
      </c>
      <c r="P231" s="4" t="n">
        <v>1</v>
      </c>
      <c r="Q231" s="4" t="n">
        <v>1</v>
      </c>
      <c r="R231" s="4" t="n">
        <v>0</v>
      </c>
      <c r="S231" s="4">
        <f>SUM(O231:R231)</f>
        <v>2</v>
      </c>
      <c r="T231" s="18">
        <f>J231/L231</f>
        <v>25.5666666666667</v>
      </c>
      <c r="U231" s="18">
        <f>S231/G231*1000</f>
        <v>0.773096250483185</v>
      </c>
      <c r="V231" s="4">
        <f>Q231+R231</f>
        <v>1</v>
      </c>
      <c r="W231" s="29">
        <f>100*((J231-MIN($J$2:$J$236))/(MAX($J$2:$J$236)-MIN($J$2:$J$236))+(H231-MIN($H$2:$H$236))/(MAX($H$2:$H$236)-MIN($H$2:$H$236))+(1-(K231-MIN($K$2:$K$236))/(MAX($K$2:$K$236)-MIN($K$2:$K$236))))/3</f>
        <v>28.2889287083147</v>
      </c>
      <c r="X231" s="4" t="n">
        <v>0</v>
      </c>
      <c r="Y231" s="4" t="n">
        <v>0</v>
      </c>
      <c r="Z231" s="4" t="n">
        <v>0</v>
      </c>
      <c r="AA231" s="4" t="inlineStr">
        <is>
          <t>No</t>
        </is>
      </c>
      <c r="AB231" s="4" t="str">
        <f>IF(H231&lt;=Complexity!$C$11,"Q1 (lowest)",IF(H231&lt;=Complexity!$C$12,"Q2",IF(H231&lt;=Complexity!$C$13,"Q3","Q4 (highest)")))</f>
        <v>Q2</v>
      </c>
      <c r="AC231" s="4" t="str">
        <f>IF(J231&lt;=Churn!$C$11,"Q1 (lowest)",IF(J231&lt;=Churn!$C$12,"Q2",IF(J231&lt;=Churn!$C$13,"Q3","Q4 (highest)")))</f>
        <v>Q1 (lowest)</v>
      </c>
      <c r="AD231" s="4" t="str">
        <f>IF(K231&lt;=40,"&lt;=40%",IF(K231&lt;=60,"40-60%",IF(K231&lt;=80,"60-80%","80%+")))</f>
        <v>60-80%</v>
      </c>
      <c r="AE231" s="4" t="str">
        <f>IF(M231&lt;=2,"1-2",IF(M231&lt;=4,"3-4",IF(M231&lt;=6,"5-6","7+")))</f>
        <v>3-4</v>
      </c>
    </row>
    <row r="232">
      <c r="A232" s="4" t="inlineStr">
        <is>
          <t>ui_themes</t>
        </is>
      </c>
      <c r="B232" s="4" t="inlineStr">
        <is>
          <t>UI</t>
        </is>
      </c>
      <c r="C232" s="4" t="inlineStr">
        <is>
          <t>JavaScript</t>
        </is>
      </c>
      <c r="D232" s="4" t="inlineStr">
        <is>
          <t>v1.0</t>
        </is>
      </c>
      <c r="E232" s="40" t="n">
        <v>45306</v>
      </c>
      <c r="F232" s="4" t="n">
        <v>1</v>
      </c>
      <c r="G232" s="4" t="n">
        <v>2559</v>
      </c>
      <c r="H232" s="18" t="n">
        <v>32.82</v>
      </c>
      <c r="I232" s="18" t="n">
        <v>21.25</v>
      </c>
      <c r="J232" s="29" t="n">
        <v>927.1</v>
      </c>
      <c r="K232" s="29" t="n">
        <v>59.5</v>
      </c>
      <c r="L232" s="4" t="n">
        <v>28</v>
      </c>
      <c r="M232" s="4" t="n">
        <v>5</v>
      </c>
      <c r="N232" s="4" t="n">
        <v>1530</v>
      </c>
      <c r="O232" s="4" t="n">
        <v>2</v>
      </c>
      <c r="P232" s="4" t="n">
        <v>4</v>
      </c>
      <c r="Q232" s="4" t="n">
        <v>2</v>
      </c>
      <c r="R232" s="4" t="n">
        <v>2</v>
      </c>
      <c r="S232" s="4">
        <f>SUM(O232:R232)</f>
        <v>10</v>
      </c>
      <c r="T232" s="18">
        <f>J232/L232</f>
        <v>33.1107142857143</v>
      </c>
      <c r="U232" s="18">
        <f>S232/G232*1000</f>
        <v>3.90777647518562</v>
      </c>
      <c r="V232" s="4">
        <f>Q232+R232</f>
        <v>4</v>
      </c>
      <c r="W232" s="29">
        <f>100*((J232-MIN($J$2:$J$236))/(MAX($J$2:$J$236)-MIN($J$2:$J$236))+(H232-MIN($H$2:$H$236))/(MAX($H$2:$H$236)-MIN($H$2:$H$236))+(1-(K232-MIN($K$2:$K$236))/(MAX($K$2:$K$236)-MIN($K$2:$K$236))))/3</f>
        <v>74.769656676988</v>
      </c>
      <c r="X232" s="4" t="n">
        <v>0</v>
      </c>
      <c r="Y232" s="4" t="n">
        <v>1</v>
      </c>
      <c r="Z232" s="4" t="n">
        <v>1</v>
      </c>
      <c r="AA232" s="4" t="inlineStr">
        <is>
          <t>No</t>
        </is>
      </c>
      <c r="AB232" s="4" t="str">
        <f>IF(H232&lt;=Complexity!$C$11,"Q1 (lowest)",IF(H232&lt;=Complexity!$C$12,"Q2",IF(H232&lt;=Complexity!$C$13,"Q3","Q4 (highest)")))</f>
        <v>Q4 (highest)</v>
      </c>
      <c r="AC232" s="4" t="str">
        <f>IF(J232&lt;=Churn!$C$11,"Q1 (lowest)",IF(J232&lt;=Churn!$C$12,"Q2",IF(J232&lt;=Churn!$C$13,"Q3","Q4 (highest)")))</f>
        <v>Q4 (highest)</v>
      </c>
      <c r="AD232" s="4" t="str">
        <f>IF(K232&lt;=40,"&lt;=40%",IF(K232&lt;=60,"40-60%",IF(K232&lt;=80,"60-80%","80%+")))</f>
        <v>40-60%</v>
      </c>
      <c r="AE232" s="4" t="str">
        <f>IF(M232&lt;=2,"1-2",IF(M232&lt;=4,"3-4",IF(M232&lt;=6,"5-6","7+")))</f>
        <v>5-6</v>
      </c>
    </row>
    <row r="233">
      <c r="A233" s="4" t="inlineStr">
        <is>
          <t>ui_themes</t>
        </is>
      </c>
      <c r="B233" s="4" t="inlineStr">
        <is>
          <t>UI</t>
        </is>
      </c>
      <c r="C233" s="4" t="inlineStr">
        <is>
          <t>JavaScript</t>
        </is>
      </c>
      <c r="D233" s="4" t="inlineStr">
        <is>
          <t>v1.1</t>
        </is>
      </c>
      <c r="E233" s="40" t="n">
        <v>45432</v>
      </c>
      <c r="F233" s="4" t="n">
        <v>2</v>
      </c>
      <c r="G233" s="4" t="n">
        <v>2559</v>
      </c>
      <c r="H233" s="18" t="n">
        <v>28.81</v>
      </c>
      <c r="I233" s="18" t="n">
        <v>20.895</v>
      </c>
      <c r="J233" s="29" t="n">
        <v>218.8</v>
      </c>
      <c r="K233" s="29" t="n">
        <v>56</v>
      </c>
      <c r="L233" s="4" t="n">
        <v>7</v>
      </c>
      <c r="M233" s="4" t="n">
        <v>3</v>
      </c>
      <c r="N233" s="4" t="n">
        <v>246</v>
      </c>
      <c r="O233" s="4" t="n">
        <v>1</v>
      </c>
      <c r="P233" s="4" t="n">
        <v>1</v>
      </c>
      <c r="Q233" s="4" t="n">
        <v>0</v>
      </c>
      <c r="R233" s="4" t="n">
        <v>0</v>
      </c>
      <c r="S233" s="4">
        <f>SUM(O233:R233)</f>
        <v>2</v>
      </c>
      <c r="T233" s="18">
        <f>J233/L233</f>
        <v>31.2571428571429</v>
      </c>
      <c r="U233" s="18">
        <f>S233/G233*1000</f>
        <v>0.781555295037124</v>
      </c>
      <c r="V233" s="4">
        <f>Q233+R233</f>
        <v>0</v>
      </c>
      <c r="W233" s="29">
        <f>100*((J233-MIN($J$2:$J$236))/(MAX($J$2:$J$236)-MIN($J$2:$J$236))+(H233-MIN($H$2:$H$236))/(MAX($H$2:$H$236)-MIN($H$2:$H$236))+(1-(K233-MIN($K$2:$K$236))/(MAX($K$2:$K$236)-MIN($K$2:$K$236))))/3</f>
        <v>52.6878339328539</v>
      </c>
      <c r="X233" s="4" t="n">
        <v>10</v>
      </c>
      <c r="Y233" s="4" t="n">
        <v>1</v>
      </c>
      <c r="Z233" s="4" t="n">
        <v>0</v>
      </c>
      <c r="AA233" s="4" t="inlineStr">
        <is>
          <t>No</t>
        </is>
      </c>
      <c r="AB233" s="4" t="str">
        <f>IF(H233&lt;=Complexity!$C$11,"Q1 (lowest)",IF(H233&lt;=Complexity!$C$12,"Q2",IF(H233&lt;=Complexity!$C$13,"Q3","Q4 (highest)")))</f>
        <v>Q4 (highest)</v>
      </c>
      <c r="AC233" s="4" t="str">
        <f>IF(J233&lt;=Churn!$C$11,"Q1 (lowest)",IF(J233&lt;=Churn!$C$12,"Q2",IF(J233&lt;=Churn!$C$13,"Q3","Q4 (highest)")))</f>
        <v>Q2</v>
      </c>
      <c r="AD233" s="4" t="str">
        <f>IF(K233&lt;=40,"&lt;=40%",IF(K233&lt;=60,"40-60%",IF(K233&lt;=80,"60-80%","80%+")))</f>
        <v>40-60%</v>
      </c>
      <c r="AE233" s="4" t="str">
        <f>IF(M233&lt;=2,"1-2",IF(M233&lt;=4,"3-4",IF(M233&lt;=6,"5-6","7+")))</f>
        <v>3-4</v>
      </c>
    </row>
    <row r="234">
      <c r="A234" s="4" t="inlineStr">
        <is>
          <t>ui_themes</t>
        </is>
      </c>
      <c r="B234" s="4" t="inlineStr">
        <is>
          <t>UI</t>
        </is>
      </c>
      <c r="C234" s="4" t="inlineStr">
        <is>
          <t>JavaScript</t>
        </is>
      </c>
      <c r="D234" s="4" t="inlineStr">
        <is>
          <t>v2.0</t>
        </is>
      </c>
      <c r="E234" s="40" t="n">
        <v>45545</v>
      </c>
      <c r="F234" s="4" t="n">
        <v>3</v>
      </c>
      <c r="G234" s="4" t="n">
        <v>2559</v>
      </c>
      <c r="H234" s="18" t="n">
        <v>31.365</v>
      </c>
      <c r="I234" s="18" t="n">
        <v>12.93</v>
      </c>
      <c r="J234" s="29" t="n">
        <v>237.4</v>
      </c>
      <c r="K234" s="29" t="n">
        <v>51.8</v>
      </c>
      <c r="L234" s="4" t="n">
        <v>11</v>
      </c>
      <c r="M234" s="4" t="n">
        <v>3</v>
      </c>
      <c r="N234" s="4" t="n">
        <v>383</v>
      </c>
      <c r="O234" s="4" t="n">
        <v>1</v>
      </c>
      <c r="P234" s="4" t="n">
        <v>0</v>
      </c>
      <c r="Q234" s="4" t="n">
        <v>1</v>
      </c>
      <c r="R234" s="4" t="n">
        <v>0</v>
      </c>
      <c r="S234" s="4">
        <f>SUM(O234:R234)</f>
        <v>2</v>
      </c>
      <c r="T234" s="18">
        <f>J234/L234</f>
        <v>21.5818181818182</v>
      </c>
      <c r="U234" s="18">
        <f>S234/G234*1000</f>
        <v>0.781555295037124</v>
      </c>
      <c r="V234" s="4">
        <f>Q234+R234</f>
        <v>1</v>
      </c>
      <c r="W234" s="29">
        <f>100*((J234-MIN($J$2:$J$236))/(MAX($J$2:$J$236)-MIN($J$2:$J$236))+(H234-MIN($H$2:$H$236))/(MAX($H$2:$H$236)-MIN($H$2:$H$236))+(1-(K234-MIN($K$2:$K$236))/(MAX($K$2:$K$236)-MIN($K$2:$K$236))))/3</f>
        <v>57.82532707843</v>
      </c>
      <c r="X234" s="4" t="n">
        <v>2</v>
      </c>
      <c r="Y234" s="4" t="n">
        <v>1</v>
      </c>
      <c r="Z234" s="4" t="n">
        <v>0</v>
      </c>
      <c r="AA234" s="4" t="inlineStr">
        <is>
          <t>No</t>
        </is>
      </c>
      <c r="AB234" s="4" t="str">
        <f>IF(H234&lt;=Complexity!$C$11,"Q1 (lowest)",IF(H234&lt;=Complexity!$C$12,"Q2",IF(H234&lt;=Complexity!$C$13,"Q3","Q4 (highest)")))</f>
        <v>Q4 (highest)</v>
      </c>
      <c r="AC234" s="4" t="str">
        <f>IF(J234&lt;=Churn!$C$11,"Q1 (lowest)",IF(J234&lt;=Churn!$C$12,"Q2",IF(J234&lt;=Churn!$C$13,"Q3","Q4 (highest)")))</f>
        <v>Q2</v>
      </c>
      <c r="AD234" s="4" t="str">
        <f>IF(K234&lt;=40,"&lt;=40%",IF(K234&lt;=60,"40-60%",IF(K234&lt;=80,"60-80%","80%+")))</f>
        <v>40-60%</v>
      </c>
      <c r="AE234" s="4" t="str">
        <f>IF(M234&lt;=2,"1-2",IF(M234&lt;=4,"3-4",IF(M234&lt;=6,"5-6","7+")))</f>
        <v>3-4</v>
      </c>
    </row>
    <row r="235">
      <c r="A235" s="4" t="inlineStr">
        <is>
          <t>ui_themes</t>
        </is>
      </c>
      <c r="B235" s="4" t="inlineStr">
        <is>
          <t>UI</t>
        </is>
      </c>
      <c r="C235" s="4" t="inlineStr">
        <is>
          <t>JavaScript</t>
        </is>
      </c>
      <c r="D235" s="4" t="inlineStr">
        <is>
          <t>v2.1</t>
        </is>
      </c>
      <c r="E235" s="40" t="n">
        <v>45706</v>
      </c>
      <c r="F235" s="4" t="n">
        <v>4</v>
      </c>
      <c r="G235" s="4" t="n">
        <v>2559</v>
      </c>
      <c r="H235" s="18" t="n">
        <v>29.91</v>
      </c>
      <c r="I235" s="18" t="n">
        <v>20.9</v>
      </c>
      <c r="J235" s="29" t="n">
        <v>50.1</v>
      </c>
      <c r="K235" s="29" t="n">
        <v>52.7</v>
      </c>
      <c r="L235" s="4" t="n">
        <v>1</v>
      </c>
      <c r="M235" s="4" t="n">
        <v>1</v>
      </c>
      <c r="N235" s="4" t="n">
        <v>58</v>
      </c>
      <c r="O235" s="4" t="n">
        <v>0</v>
      </c>
      <c r="P235" s="4" t="n">
        <v>0</v>
      </c>
      <c r="Q235" s="4" t="n">
        <v>0</v>
      </c>
      <c r="R235" s="4" t="n">
        <v>0</v>
      </c>
      <c r="S235" s="4">
        <f>SUM(O235:R235)</f>
        <v>0</v>
      </c>
      <c r="T235" s="18">
        <f>J235/L235</f>
        <v>50.1</v>
      </c>
      <c r="U235" s="18">
        <f>S235/G235*1000</f>
        <v>0</v>
      </c>
      <c r="V235" s="4">
        <f>Q235+R235</f>
        <v>0</v>
      </c>
      <c r="W235" s="29">
        <f>100*((J235-MIN($J$2:$J$236))/(MAX($J$2:$J$236)-MIN($J$2:$J$236))+(H235-MIN($H$2:$H$236))/(MAX($H$2:$H$236)-MIN($H$2:$H$236))+(1-(K235-MIN($K$2:$K$236))/(MAX($K$2:$K$236)-MIN($K$2:$K$236))))/3</f>
        <v>50.7347571954882</v>
      </c>
      <c r="X235" s="4" t="n">
        <v>2</v>
      </c>
      <c r="Y235" s="4" t="n">
        <v>1</v>
      </c>
      <c r="Z235" s="4" t="n">
        <v>0</v>
      </c>
      <c r="AA235" s="4" t="inlineStr">
        <is>
          <t>No</t>
        </is>
      </c>
      <c r="AB235" s="4" t="str">
        <f>IF(H235&lt;=Complexity!$C$11,"Q1 (lowest)",IF(H235&lt;=Complexity!$C$12,"Q2",IF(H235&lt;=Complexity!$C$13,"Q3","Q4 (highest)")))</f>
        <v>Q4 (highest)</v>
      </c>
      <c r="AC235" s="4" t="str">
        <f>IF(J235&lt;=Churn!$C$11,"Q1 (lowest)",IF(J235&lt;=Churn!$C$12,"Q2",IF(J235&lt;=Churn!$C$13,"Q3","Q4 (highest)")))</f>
        <v>Q1 (lowest)</v>
      </c>
      <c r="AD235" s="4" t="str">
        <f>IF(K235&lt;=40,"&lt;=40%",IF(K235&lt;=60,"40-60%",IF(K235&lt;=80,"60-80%","80%+")))</f>
        <v>40-60%</v>
      </c>
      <c r="AE235" s="4" t="str">
        <f>IF(M235&lt;=2,"1-2",IF(M235&lt;=4,"3-4",IF(M235&lt;=6,"5-6","7+")))</f>
        <v>1-2</v>
      </c>
    </row>
    <row r="236">
      <c r="A236" s="4" t="inlineStr">
        <is>
          <t>ui_themes</t>
        </is>
      </c>
      <c r="B236" s="4" t="inlineStr">
        <is>
          <t>UI</t>
        </is>
      </c>
      <c r="C236" s="4" t="inlineStr">
        <is>
          <t>JavaScript</t>
        </is>
      </c>
      <c r="D236" s="4" t="inlineStr">
        <is>
          <t>v3.0</t>
        </is>
      </c>
      <c r="E236" s="40" t="n">
        <v>45839</v>
      </c>
      <c r="F236" s="4" t="n">
        <v>5</v>
      </c>
      <c r="G236" s="4" t="n">
        <v>2559</v>
      </c>
      <c r="H236" s="18" t="n">
        <v>32.95</v>
      </c>
      <c r="I236" s="18" t="n">
        <v>20.89</v>
      </c>
      <c r="J236" s="29" t="n">
        <v>529</v>
      </c>
      <c r="K236" s="29" t="n">
        <v>57.6</v>
      </c>
      <c r="L236" s="4" t="n">
        <v>16</v>
      </c>
      <c r="M236" s="4" t="n">
        <v>4</v>
      </c>
      <c r="N236" s="4" t="n">
        <v>727</v>
      </c>
      <c r="O236" s="4" t="n">
        <v>2</v>
      </c>
      <c r="P236" s="4" t="n">
        <v>2</v>
      </c>
      <c r="Q236" s="4" t="n">
        <v>0</v>
      </c>
      <c r="R236" s="4" t="n">
        <v>1</v>
      </c>
      <c r="S236" s="4">
        <f>SUM(O236:R236)</f>
        <v>5</v>
      </c>
      <c r="T236" s="18">
        <f>J236/L236</f>
        <v>33.0625</v>
      </c>
      <c r="U236" s="18">
        <f>S236/G236*1000</f>
        <v>1.95388823759281</v>
      </c>
      <c r="V236" s="4">
        <f>Q236+R236</f>
        <v>1</v>
      </c>
      <c r="W236" s="29">
        <f>100*((J236-MIN($J$2:$J$236))/(MAX($J$2:$J$236)-MIN($J$2:$J$236))+(H236-MIN($H$2:$H$236))/(MAX($H$2:$H$236)-MIN($H$2:$H$236))+(1-(K236-MIN($K$2:$K$236))/(MAX($K$2:$K$236)-MIN($K$2:$K$236))))/3</f>
        <v>64.8585320706012</v>
      </c>
      <c r="X236" s="4" t="n">
        <v>0</v>
      </c>
      <c r="Y236" s="4" t="n">
        <v>1</v>
      </c>
      <c r="Z236" s="4" t="n">
        <v>1</v>
      </c>
      <c r="AA236" s="4" t="inlineStr">
        <is>
          <t>No</t>
        </is>
      </c>
      <c r="AB236" s="4" t="str">
        <f>IF(H236&lt;=Complexity!$C$11,"Q1 (lowest)",IF(H236&lt;=Complexity!$C$12,"Q2",IF(H236&lt;=Complexity!$C$13,"Q3","Q4 (highest)")))</f>
        <v>Q4 (highest)</v>
      </c>
      <c r="AC236" s="4" t="str">
        <f>IF(J236&lt;=Churn!$C$11,"Q1 (lowest)",IF(J236&lt;=Churn!$C$12,"Q2",IF(J236&lt;=Churn!$C$13,"Q3","Q4 (highest)")))</f>
        <v>Q4 (highest)</v>
      </c>
      <c r="AD236" s="4" t="str">
        <f>IF(K236&lt;=40,"&lt;=40%",IF(K236&lt;=60,"40-60%",IF(K236&lt;=80,"60-80%","80%+")))</f>
        <v>40-60%</v>
      </c>
      <c r="AE236" s="4" t="str">
        <f>IF(M236&lt;=2,"1-2",IF(M236&lt;=4,"3-4",IF(M236&lt;=6,"5-6","7+")))</f>
        <v>3-4</v>
      </c>
    </row>
  </sheetData>
  <autoFilter ref="A1:AE23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Notes: data, cleaning, definitions and sheet guide</t>
        </is>
      </c>
    </row>
    <row r="3" ht="62" customHeight="1">
      <c r="A3" s="28" t="inlineStr">
        <is>
          <t>Data source</t>
        </is>
      </c>
      <c r="B3" s="13" t="inlineStr">
        <is>
          <t>Synthetic dataset generated with Python (seed 42) following the CH28 schema (modules, metrics, defects, commits, releases). 47 modules, 6 components, 4 languages, 5 releases (v1.0 to v3.0), 235 module-release rows.</t>
        </is>
      </c>
    </row>
    <row r="4" ht="62" customHeight="1">
      <c r="A4" s="28" t="inlineStr">
        <is>
          <t>Cleaning applied (Python notebook)</t>
        </is>
      </c>
      <c r="B4" s="13" t="inlineStr">
        <is>
          <t>Module names standardised (strip, lowercase, hyphen to underscore). Exact duplicates removed (metrics 249 to 235, releases 247 to 235). 18 unmatched defect rows (53 defects, 5 module names not in modules.csv) set aside. 7 complexity values above 100 flagged, set to missing and filled with the module median. 58 missing metric values and 7 missing contributor values filled with the module median.</t>
        </is>
      </c>
    </row>
    <row r="5" ht="62" customHeight="1">
      <c r="A5" s="28" t="inlineStr">
        <is>
          <t>Engineered columns on Data</t>
        </is>
      </c>
      <c r="B5" s="13" t="inlineStr">
        <is>
          <t>Formulas: total_defects = sum of severity counts; churn_per_commit = churn / commit_count; defect_density = defects per 1,000 lines; high_severity_defects = High + Critical; risk_score = equal-weight 0-100 mix of scaled churn, scaled complexity and low coverage. Bands (complexity_band, churn_band, coverage_band, contributor_group) are formulas to make Pivot Tables easy.</t>
        </is>
      </c>
    </row>
    <row r="6" ht="62" customHeight="1">
      <c r="A6" s="28" t="inlineStr">
        <is>
          <t>Definitions</t>
        </is>
      </c>
      <c r="B6" s="13" t="inlineStr">
        <is>
          <t>Repeat-defect module = defects in 4 or more of the 5 releases. High churn = above the 75th percentile (Churn!C13). Low coverage = below 60%. high_defect = more than 2 defects in a release.</t>
        </is>
      </c>
    </row>
    <row r="7" ht="62" customHeight="1">
      <c r="A7" s="28" t="inlineStr">
        <is>
          <t>Hardcoded thresholds and inputs</t>
        </is>
      </c>
      <c r="B7" s="13" t="inlineStr">
        <is>
          <t>Coverage band limits (40, 60, 80) on Coverage; contributor groups (1-2, 3-4, 5-6, 7+) on Contributors; repeat-defect cut-off of 4 releases on Modules; tier rules applied in Python. Spearman values and model metrics are imported from the notebook.</t>
        </is>
      </c>
    </row>
    <row r="8" ht="62" customHeight="1">
      <c r="A8" s="28" t="inlineStr">
        <is>
          <t>Priority tiers</t>
        </is>
      </c>
      <c r="B8" s="13" t="inlineStr">
        <is>
          <t>Tier 1 = repeat-defect module with high churn and/or low coverage. Tier 2 = high churn or low coverage, or predicted defects of 2 or more. Tier 3 = everything else.</t>
        </is>
      </c>
    </row>
    <row r="9" ht="62" customHeight="1">
      <c r="A9" s="28" t="inlineStr">
        <is>
          <t>Sheet guide</t>
        </is>
      </c>
      <c r="B9" s="13" t="inlineStr">
        <is>
          <t>Summary (all results), Defects_by_Module (Q1), Complexity (Q2), Churn (Q3), Coverage (Q4), Component_Trend (Q5), Contributors (Q6), Correlations, Priority_List (model output), Modules (47-row summary), Data (235-row cleaned data), Notes.</t>
        </is>
      </c>
    </row>
    <row r="10" ht="62" customHeight="1">
      <c r="A10" s="28" t="inlineStr">
        <is>
          <t>Pivot Tables to add (Google Sheets or Excel)</t>
        </is>
      </c>
      <c r="B10" s="13" t="inlineStr">
        <is>
          <t>Pivots sheet (six Pivot Tables, each with a Pivot Chart), all built on Data!A1:AE236: (1) rows module, Sum of total_defects (sorted largest first); (2) rows release, columns component, Sum of total_defects; (3) rows complexity_band, Average of total_defects; (4) rows churn_band, Average of total_defects; (5) rows coverage_band, Average of total_defects; (6) rows contributor_group, Average of total_defects and Count of module. The pivots refresh when the file is opened; use Data &gt; Refresh All after any change to the Data sheet.</t>
        </is>
      </c>
    </row>
    <row r="11" ht="62" customHeight="1">
      <c r="A11" s="28" t="inlineStr">
        <is>
          <t>Caveats</t>
        </is>
      </c>
      <c r="B11" s="13" t="inlineStr">
        <is>
          <t>The data is synthetic, so patterns describe the generated data and are associations, not proof of cause.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2026-10-12T07:24:17Z</dcterms:created>
  <dcterms:modified xmlns:dcterms="http://purl.org/dc/terms/" xmlns:xsi="http://www.w3.org/2001/XMLSchema-instance" xsi:type="dcterms:W3CDTF">2026-10-12T07:34:11Z</dcterms:modified>
</cp:coreProperties>
</file>